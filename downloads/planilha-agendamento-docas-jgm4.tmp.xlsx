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as\Consultoria-JGM4\downloads\"/>
    </mc:Choice>
  </mc:AlternateContent>
  <xr:revisionPtr revIDLastSave="0" documentId="8_{9975957B-2107-4AB4-B349-12AC49E816E9}" xr6:coauthVersionLast="47" xr6:coauthVersionMax="47" xr10:uidLastSave="{00000000-0000-0000-0000-000000000000}"/>
  <bookViews>
    <workbookView xWindow="-18930" yWindow="480" windowWidth="15375" windowHeight="7785" xr2:uid="{CF98BA6D-F26D-4FF2-AC69-30B39B6725CD}"/>
  </bookViews>
  <sheets>
    <sheet name="Instruções" sheetId="5" r:id="rId1"/>
    <sheet name="Agenda" sheetId="4" r:id="rId2"/>
    <sheet name="Cadastros" sheetId="3" r:id="rId3"/>
    <sheet name="Indicadores" sheetId="2" r:id="rId4"/>
    <sheet name="Dashboard" sheetId="1" r:id="rId5"/>
  </sheets>
  <definedNames>
    <definedName name="ListaDocas">Cadastros!$A$6:$A$105</definedName>
    <definedName name="ListaFornecedores">Cadastros!$D$7:$D$106</definedName>
    <definedName name="ListaStatus">Cadastros!$G$13:$G$20</definedName>
    <definedName name="ListaTiposCarga">Cadastros!$A$13:$A$30</definedName>
    <definedName name="ListaTransportadoras">Cadastros!$K$7:$K$106</definedName>
    <definedName name="ListaUnidades">Cadastros!$D$13:$D$30</definedName>
    <definedName name="_xlnm.Print_Area" localSheetId="4">Dashboard!$A$1:$N$33</definedName>
    <definedName name="_xlnm.Print_Area" localSheetId="3">Indicadores!$A$1:$H$32</definedName>
    <definedName name="_xlnm.Print_Area" localSheetId="0">Instruções!$A$1:$H$39</definedName>
    <definedName name="_xlnm.Print_Titles" localSheetId="1">Agenda!$1:$1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9" i="1" l="1"/>
  <c r="W8" i="1"/>
  <c r="W7" i="1"/>
  <c r="W6" i="1"/>
  <c r="W5" i="1"/>
  <c r="W4" i="1"/>
  <c r="W3" i="1"/>
  <c r="T5" i="1"/>
  <c r="T4" i="1"/>
  <c r="T3" i="1"/>
  <c r="Q10" i="1"/>
  <c r="Q9" i="1"/>
  <c r="Q8" i="1"/>
  <c r="Q7" i="1"/>
  <c r="Q6" i="1"/>
  <c r="Q5" i="1"/>
  <c r="Q4" i="1"/>
  <c r="Q3" i="1"/>
  <c r="A31" i="2"/>
  <c r="B31" i="2" s="1"/>
  <c r="A30" i="2"/>
  <c r="B30" i="2" s="1"/>
  <c r="A29" i="2"/>
  <c r="B29" i="2" s="1"/>
  <c r="A28" i="2"/>
  <c r="B28" i="2" s="1"/>
  <c r="A27" i="2"/>
  <c r="B27" i="2" s="1"/>
  <c r="A26" i="2"/>
  <c r="B26" i="2" s="1"/>
  <c r="A25" i="2"/>
  <c r="B25" i="2" s="1"/>
  <c r="A24" i="2"/>
  <c r="B24" i="2" s="1"/>
  <c r="A23" i="2"/>
  <c r="B23" i="2" s="1"/>
  <c r="A22" i="2"/>
  <c r="B22" i="2" s="1"/>
  <c r="A21" i="2"/>
  <c r="B21" i="2" s="1"/>
  <c r="A20" i="2"/>
  <c r="B20" i="2" s="1"/>
  <c r="D16" i="2"/>
  <c r="E16" i="2" s="1"/>
  <c r="D15" i="2"/>
  <c r="E15" i="2" s="1"/>
  <c r="D14" i="2"/>
  <c r="E14" i="2" s="1"/>
  <c r="D13" i="2"/>
  <c r="E13" i="2" s="1"/>
  <c r="E12" i="2"/>
  <c r="D12" i="2"/>
  <c r="D11" i="2"/>
  <c r="E11" i="2" s="1"/>
  <c r="D10" i="2"/>
  <c r="E10" i="2" s="1"/>
  <c r="D9" i="2"/>
  <c r="E9" i="2" s="1"/>
  <c r="D8" i="2"/>
  <c r="E8" i="2" s="1"/>
  <c r="D7" i="2"/>
  <c r="E7" i="2" s="1"/>
  <c r="B10" i="2"/>
  <c r="B9" i="2"/>
  <c r="B8" i="2"/>
  <c r="B7" i="2"/>
  <c r="E6" i="1" s="1"/>
  <c r="B6" i="2"/>
  <c r="V501" i="4"/>
  <c r="U501" i="4"/>
  <c r="T501" i="4"/>
  <c r="S501" i="4"/>
  <c r="V500" i="4"/>
  <c r="U500" i="4"/>
  <c r="T500" i="4"/>
  <c r="S500" i="4"/>
  <c r="V499" i="4"/>
  <c r="U499" i="4"/>
  <c r="T499" i="4"/>
  <c r="S499" i="4"/>
  <c r="V498" i="4"/>
  <c r="U498" i="4"/>
  <c r="T498" i="4"/>
  <c r="S498" i="4"/>
  <c r="V497" i="4"/>
  <c r="U497" i="4"/>
  <c r="T497" i="4"/>
  <c r="S497" i="4"/>
  <c r="V496" i="4"/>
  <c r="U496" i="4"/>
  <c r="T496" i="4"/>
  <c r="S496" i="4"/>
  <c r="V495" i="4"/>
  <c r="U495" i="4"/>
  <c r="T495" i="4"/>
  <c r="S495" i="4"/>
  <c r="V494" i="4"/>
  <c r="U494" i="4"/>
  <c r="T494" i="4"/>
  <c r="S494" i="4"/>
  <c r="V493" i="4"/>
  <c r="U493" i="4"/>
  <c r="T493" i="4"/>
  <c r="S493" i="4"/>
  <c r="V492" i="4"/>
  <c r="U492" i="4"/>
  <c r="T492" i="4"/>
  <c r="S492" i="4"/>
  <c r="V491" i="4"/>
  <c r="U491" i="4"/>
  <c r="T491" i="4"/>
  <c r="S491" i="4"/>
  <c r="V490" i="4"/>
  <c r="U490" i="4"/>
  <c r="T490" i="4"/>
  <c r="S490" i="4"/>
  <c r="V489" i="4"/>
  <c r="U489" i="4"/>
  <c r="T489" i="4"/>
  <c r="S489" i="4"/>
  <c r="V488" i="4"/>
  <c r="U488" i="4"/>
  <c r="T488" i="4"/>
  <c r="S488" i="4"/>
  <c r="V487" i="4"/>
  <c r="U487" i="4"/>
  <c r="T487" i="4"/>
  <c r="S487" i="4"/>
  <c r="V486" i="4"/>
  <c r="U486" i="4"/>
  <c r="T486" i="4"/>
  <c r="S486" i="4"/>
  <c r="V485" i="4"/>
  <c r="U485" i="4"/>
  <c r="T485" i="4"/>
  <c r="S485" i="4"/>
  <c r="V484" i="4"/>
  <c r="U484" i="4"/>
  <c r="T484" i="4"/>
  <c r="S484" i="4"/>
  <c r="V483" i="4"/>
  <c r="U483" i="4"/>
  <c r="T483" i="4"/>
  <c r="S483" i="4"/>
  <c r="V482" i="4"/>
  <c r="U482" i="4"/>
  <c r="T482" i="4"/>
  <c r="S482" i="4"/>
  <c r="V481" i="4"/>
  <c r="U481" i="4"/>
  <c r="T481" i="4"/>
  <c r="S481" i="4"/>
  <c r="V480" i="4"/>
  <c r="U480" i="4"/>
  <c r="T480" i="4"/>
  <c r="S480" i="4"/>
  <c r="V479" i="4"/>
  <c r="U479" i="4"/>
  <c r="T479" i="4"/>
  <c r="S479" i="4"/>
  <c r="V478" i="4"/>
  <c r="U478" i="4"/>
  <c r="T478" i="4"/>
  <c r="S478" i="4"/>
  <c r="V477" i="4"/>
  <c r="U477" i="4"/>
  <c r="T477" i="4"/>
  <c r="S477" i="4"/>
  <c r="V476" i="4"/>
  <c r="U476" i="4"/>
  <c r="T476" i="4"/>
  <c r="S476" i="4"/>
  <c r="V475" i="4"/>
  <c r="U475" i="4"/>
  <c r="T475" i="4"/>
  <c r="S475" i="4"/>
  <c r="V474" i="4"/>
  <c r="U474" i="4"/>
  <c r="T474" i="4"/>
  <c r="S474" i="4"/>
  <c r="V473" i="4"/>
  <c r="U473" i="4"/>
  <c r="T473" i="4"/>
  <c r="S473" i="4"/>
  <c r="V472" i="4"/>
  <c r="U472" i="4"/>
  <c r="T472" i="4"/>
  <c r="S472" i="4"/>
  <c r="V471" i="4"/>
  <c r="U471" i="4"/>
  <c r="T471" i="4"/>
  <c r="S471" i="4"/>
  <c r="V470" i="4"/>
  <c r="U470" i="4"/>
  <c r="T470" i="4"/>
  <c r="S470" i="4"/>
  <c r="V469" i="4"/>
  <c r="U469" i="4"/>
  <c r="T469" i="4"/>
  <c r="S469" i="4"/>
  <c r="V468" i="4"/>
  <c r="U468" i="4"/>
  <c r="T468" i="4"/>
  <c r="S468" i="4"/>
  <c r="V467" i="4"/>
  <c r="U467" i="4"/>
  <c r="T467" i="4"/>
  <c r="S467" i="4"/>
  <c r="V466" i="4"/>
  <c r="U466" i="4"/>
  <c r="T466" i="4"/>
  <c r="S466" i="4"/>
  <c r="V465" i="4"/>
  <c r="U465" i="4"/>
  <c r="T465" i="4"/>
  <c r="S465" i="4"/>
  <c r="V464" i="4"/>
  <c r="U464" i="4"/>
  <c r="T464" i="4"/>
  <c r="S464" i="4"/>
  <c r="V463" i="4"/>
  <c r="U463" i="4"/>
  <c r="T463" i="4"/>
  <c r="S463" i="4"/>
  <c r="V462" i="4"/>
  <c r="U462" i="4"/>
  <c r="T462" i="4"/>
  <c r="S462" i="4"/>
  <c r="V461" i="4"/>
  <c r="U461" i="4"/>
  <c r="T461" i="4"/>
  <c r="S461" i="4"/>
  <c r="V460" i="4"/>
  <c r="U460" i="4"/>
  <c r="T460" i="4"/>
  <c r="S460" i="4"/>
  <c r="V459" i="4"/>
  <c r="U459" i="4"/>
  <c r="T459" i="4"/>
  <c r="S459" i="4"/>
  <c r="V458" i="4"/>
  <c r="U458" i="4"/>
  <c r="T458" i="4"/>
  <c r="S458" i="4"/>
  <c r="V457" i="4"/>
  <c r="U457" i="4"/>
  <c r="B13" i="2" s="1"/>
  <c r="E11" i="1" s="1"/>
  <c r="T457" i="4"/>
  <c r="B12" i="2" s="1"/>
  <c r="A11" i="1" s="1"/>
  <c r="S457" i="4"/>
  <c r="B14" i="2" s="1"/>
  <c r="M6" i="1" s="1"/>
  <c r="V456" i="4"/>
  <c r="U456" i="4"/>
  <c r="T456" i="4"/>
  <c r="S456" i="4"/>
  <c r="V455" i="4"/>
  <c r="U455" i="4"/>
  <c r="T455" i="4"/>
  <c r="S455" i="4"/>
  <c r="V454" i="4"/>
  <c r="U454" i="4"/>
  <c r="T454" i="4"/>
  <c r="S454" i="4"/>
  <c r="V453" i="4"/>
  <c r="U453" i="4"/>
  <c r="T453" i="4"/>
  <c r="S453" i="4"/>
  <c r="V452" i="4"/>
  <c r="U452" i="4"/>
  <c r="T452" i="4"/>
  <c r="S452" i="4"/>
  <c r="V451" i="4"/>
  <c r="U451" i="4"/>
  <c r="T451" i="4"/>
  <c r="S451" i="4"/>
  <c r="V450" i="4"/>
  <c r="U450" i="4"/>
  <c r="T450" i="4"/>
  <c r="S450" i="4"/>
  <c r="V449" i="4"/>
  <c r="U449" i="4"/>
  <c r="T449" i="4"/>
  <c r="S449" i="4"/>
  <c r="V448" i="4"/>
  <c r="U448" i="4"/>
  <c r="T448" i="4"/>
  <c r="S448" i="4"/>
  <c r="V447" i="4"/>
  <c r="U447" i="4"/>
  <c r="T447" i="4"/>
  <c r="S447" i="4"/>
  <c r="V446" i="4"/>
  <c r="U446" i="4"/>
  <c r="T446" i="4"/>
  <c r="S446" i="4"/>
  <c r="V445" i="4"/>
  <c r="U445" i="4"/>
  <c r="T445" i="4"/>
  <c r="S445" i="4"/>
  <c r="V444" i="4"/>
  <c r="U444" i="4"/>
  <c r="T444" i="4"/>
  <c r="S444" i="4"/>
  <c r="V443" i="4"/>
  <c r="U443" i="4"/>
  <c r="T443" i="4"/>
  <c r="S443" i="4"/>
  <c r="V442" i="4"/>
  <c r="U442" i="4"/>
  <c r="T442" i="4"/>
  <c r="S442" i="4"/>
  <c r="V441" i="4"/>
  <c r="U441" i="4"/>
  <c r="T441" i="4"/>
  <c r="S441" i="4"/>
  <c r="V440" i="4"/>
  <c r="U440" i="4"/>
  <c r="T440" i="4"/>
  <c r="S440" i="4"/>
  <c r="V439" i="4"/>
  <c r="U439" i="4"/>
  <c r="T439" i="4"/>
  <c r="S439" i="4"/>
  <c r="V438" i="4"/>
  <c r="U438" i="4"/>
  <c r="T438" i="4"/>
  <c r="S438" i="4"/>
  <c r="V437" i="4"/>
  <c r="U437" i="4"/>
  <c r="T437" i="4"/>
  <c r="S437" i="4"/>
  <c r="V436" i="4"/>
  <c r="U436" i="4"/>
  <c r="T436" i="4"/>
  <c r="S436" i="4"/>
  <c r="V435" i="4"/>
  <c r="U435" i="4"/>
  <c r="T435" i="4"/>
  <c r="S435" i="4"/>
  <c r="V434" i="4"/>
  <c r="U434" i="4"/>
  <c r="T434" i="4"/>
  <c r="S434" i="4"/>
  <c r="V433" i="4"/>
  <c r="U433" i="4"/>
  <c r="T433" i="4"/>
  <c r="S433" i="4"/>
  <c r="V432" i="4"/>
  <c r="U432" i="4"/>
  <c r="T432" i="4"/>
  <c r="S432" i="4"/>
  <c r="V431" i="4"/>
  <c r="U431" i="4"/>
  <c r="T431" i="4"/>
  <c r="S431" i="4"/>
  <c r="V430" i="4"/>
  <c r="U430" i="4"/>
  <c r="T430" i="4"/>
  <c r="S430" i="4"/>
  <c r="V429" i="4"/>
  <c r="U429" i="4"/>
  <c r="T429" i="4"/>
  <c r="S429" i="4"/>
  <c r="V428" i="4"/>
  <c r="U428" i="4"/>
  <c r="T428" i="4"/>
  <c r="S428" i="4"/>
  <c r="V427" i="4"/>
  <c r="U427" i="4"/>
  <c r="T427" i="4"/>
  <c r="S427" i="4"/>
  <c r="V426" i="4"/>
  <c r="U426" i="4"/>
  <c r="T426" i="4"/>
  <c r="S426" i="4"/>
  <c r="V425" i="4"/>
  <c r="U425" i="4"/>
  <c r="T425" i="4"/>
  <c r="S425" i="4"/>
  <c r="V424" i="4"/>
  <c r="U424" i="4"/>
  <c r="T424" i="4"/>
  <c r="S424" i="4"/>
  <c r="V423" i="4"/>
  <c r="U423" i="4"/>
  <c r="T423" i="4"/>
  <c r="S423" i="4"/>
  <c r="V422" i="4"/>
  <c r="U422" i="4"/>
  <c r="T422" i="4"/>
  <c r="S422" i="4"/>
  <c r="V421" i="4"/>
  <c r="U421" i="4"/>
  <c r="T421" i="4"/>
  <c r="S421" i="4"/>
  <c r="V420" i="4"/>
  <c r="U420" i="4"/>
  <c r="T420" i="4"/>
  <c r="S420" i="4"/>
  <c r="V419" i="4"/>
  <c r="U419" i="4"/>
  <c r="T419" i="4"/>
  <c r="S419" i="4"/>
  <c r="V418" i="4"/>
  <c r="U418" i="4"/>
  <c r="T418" i="4"/>
  <c r="S418" i="4"/>
  <c r="V417" i="4"/>
  <c r="U417" i="4"/>
  <c r="T417" i="4"/>
  <c r="S417" i="4"/>
  <c r="V416" i="4"/>
  <c r="U416" i="4"/>
  <c r="T416" i="4"/>
  <c r="S416" i="4"/>
  <c r="V415" i="4"/>
  <c r="U415" i="4"/>
  <c r="T415" i="4"/>
  <c r="S415" i="4"/>
  <c r="V414" i="4"/>
  <c r="U414" i="4"/>
  <c r="T414" i="4"/>
  <c r="S414" i="4"/>
  <c r="V413" i="4"/>
  <c r="U413" i="4"/>
  <c r="T413" i="4"/>
  <c r="S413" i="4"/>
  <c r="V412" i="4"/>
  <c r="U412" i="4"/>
  <c r="T412" i="4"/>
  <c r="S412" i="4"/>
  <c r="V411" i="4"/>
  <c r="U411" i="4"/>
  <c r="T411" i="4"/>
  <c r="S411" i="4"/>
  <c r="V410" i="4"/>
  <c r="U410" i="4"/>
  <c r="T410" i="4"/>
  <c r="S410" i="4"/>
  <c r="V409" i="4"/>
  <c r="U409" i="4"/>
  <c r="T409" i="4"/>
  <c r="S409" i="4"/>
  <c r="V408" i="4"/>
  <c r="U408" i="4"/>
  <c r="T408" i="4"/>
  <c r="S408" i="4"/>
  <c r="V407" i="4"/>
  <c r="U407" i="4"/>
  <c r="T407" i="4"/>
  <c r="S407" i="4"/>
  <c r="V406" i="4"/>
  <c r="U406" i="4"/>
  <c r="T406" i="4"/>
  <c r="S406" i="4"/>
  <c r="V405" i="4"/>
  <c r="U405" i="4"/>
  <c r="T405" i="4"/>
  <c r="S405" i="4"/>
  <c r="V404" i="4"/>
  <c r="U404" i="4"/>
  <c r="T404" i="4"/>
  <c r="S404" i="4"/>
  <c r="V403" i="4"/>
  <c r="U403" i="4"/>
  <c r="T403" i="4"/>
  <c r="S403" i="4"/>
  <c r="V402" i="4"/>
  <c r="U402" i="4"/>
  <c r="T402" i="4"/>
  <c r="S402" i="4"/>
  <c r="V401" i="4"/>
  <c r="U401" i="4"/>
  <c r="T401" i="4"/>
  <c r="S401" i="4"/>
  <c r="V400" i="4"/>
  <c r="U400" i="4"/>
  <c r="T400" i="4"/>
  <c r="S400" i="4"/>
  <c r="V399" i="4"/>
  <c r="U399" i="4"/>
  <c r="T399" i="4"/>
  <c r="S399" i="4"/>
  <c r="V398" i="4"/>
  <c r="U398" i="4"/>
  <c r="T398" i="4"/>
  <c r="S398" i="4"/>
  <c r="V397" i="4"/>
  <c r="U397" i="4"/>
  <c r="T397" i="4"/>
  <c r="S397" i="4"/>
  <c r="V396" i="4"/>
  <c r="U396" i="4"/>
  <c r="T396" i="4"/>
  <c r="S396" i="4"/>
  <c r="V395" i="4"/>
  <c r="U395" i="4"/>
  <c r="T395" i="4"/>
  <c r="S395" i="4"/>
  <c r="V394" i="4"/>
  <c r="U394" i="4"/>
  <c r="T394" i="4"/>
  <c r="S394" i="4"/>
  <c r="V393" i="4"/>
  <c r="U393" i="4"/>
  <c r="T393" i="4"/>
  <c r="S393" i="4"/>
  <c r="V392" i="4"/>
  <c r="U392" i="4"/>
  <c r="T392" i="4"/>
  <c r="S392" i="4"/>
  <c r="V391" i="4"/>
  <c r="U391" i="4"/>
  <c r="T391" i="4"/>
  <c r="S391" i="4"/>
  <c r="V390" i="4"/>
  <c r="U390" i="4"/>
  <c r="T390" i="4"/>
  <c r="S390" i="4"/>
  <c r="V389" i="4"/>
  <c r="U389" i="4"/>
  <c r="T389" i="4"/>
  <c r="S389" i="4"/>
  <c r="V388" i="4"/>
  <c r="U388" i="4"/>
  <c r="T388" i="4"/>
  <c r="S388" i="4"/>
  <c r="V387" i="4"/>
  <c r="U387" i="4"/>
  <c r="T387" i="4"/>
  <c r="S387" i="4"/>
  <c r="V386" i="4"/>
  <c r="U386" i="4"/>
  <c r="T386" i="4"/>
  <c r="S386" i="4"/>
  <c r="V385" i="4"/>
  <c r="U385" i="4"/>
  <c r="T385" i="4"/>
  <c r="S385" i="4"/>
  <c r="V384" i="4"/>
  <c r="U384" i="4"/>
  <c r="T384" i="4"/>
  <c r="S384" i="4"/>
  <c r="V383" i="4"/>
  <c r="U383" i="4"/>
  <c r="T383" i="4"/>
  <c r="S383" i="4"/>
  <c r="V382" i="4"/>
  <c r="U382" i="4"/>
  <c r="T382" i="4"/>
  <c r="S382" i="4"/>
  <c r="V381" i="4"/>
  <c r="U381" i="4"/>
  <c r="T381" i="4"/>
  <c r="S381" i="4"/>
  <c r="V380" i="4"/>
  <c r="U380" i="4"/>
  <c r="T380" i="4"/>
  <c r="S380" i="4"/>
  <c r="V379" i="4"/>
  <c r="U379" i="4"/>
  <c r="T379" i="4"/>
  <c r="S379" i="4"/>
  <c r="V378" i="4"/>
  <c r="U378" i="4"/>
  <c r="T378" i="4"/>
  <c r="S378" i="4"/>
  <c r="V377" i="4"/>
  <c r="U377" i="4"/>
  <c r="T377" i="4"/>
  <c r="S377" i="4"/>
  <c r="V376" i="4"/>
  <c r="U376" i="4"/>
  <c r="T376" i="4"/>
  <c r="S376" i="4"/>
  <c r="V375" i="4"/>
  <c r="U375" i="4"/>
  <c r="T375" i="4"/>
  <c r="S375" i="4"/>
  <c r="V374" i="4"/>
  <c r="U374" i="4"/>
  <c r="T374" i="4"/>
  <c r="S374" i="4"/>
  <c r="V373" i="4"/>
  <c r="U373" i="4"/>
  <c r="T373" i="4"/>
  <c r="S373" i="4"/>
  <c r="V372" i="4"/>
  <c r="U372" i="4"/>
  <c r="T372" i="4"/>
  <c r="S372" i="4"/>
  <c r="V371" i="4"/>
  <c r="U371" i="4"/>
  <c r="T371" i="4"/>
  <c r="S371" i="4"/>
  <c r="V370" i="4"/>
  <c r="U370" i="4"/>
  <c r="T370" i="4"/>
  <c r="S370" i="4"/>
  <c r="V369" i="4"/>
  <c r="U369" i="4"/>
  <c r="T369" i="4"/>
  <c r="S369" i="4"/>
  <c r="V368" i="4"/>
  <c r="U368" i="4"/>
  <c r="T368" i="4"/>
  <c r="S368" i="4"/>
  <c r="V367" i="4"/>
  <c r="U367" i="4"/>
  <c r="T367" i="4"/>
  <c r="S367" i="4"/>
  <c r="V366" i="4"/>
  <c r="U366" i="4"/>
  <c r="T366" i="4"/>
  <c r="S366" i="4"/>
  <c r="V365" i="4"/>
  <c r="U365" i="4"/>
  <c r="T365" i="4"/>
  <c r="S365" i="4"/>
  <c r="V364" i="4"/>
  <c r="U364" i="4"/>
  <c r="T364" i="4"/>
  <c r="S364" i="4"/>
  <c r="V363" i="4"/>
  <c r="U363" i="4"/>
  <c r="T363" i="4"/>
  <c r="S363" i="4"/>
  <c r="V362" i="4"/>
  <c r="U362" i="4"/>
  <c r="T362" i="4"/>
  <c r="S362" i="4"/>
  <c r="V361" i="4"/>
  <c r="U361" i="4"/>
  <c r="T361" i="4"/>
  <c r="S361" i="4"/>
  <c r="V360" i="4"/>
  <c r="U360" i="4"/>
  <c r="T360" i="4"/>
  <c r="S360" i="4"/>
  <c r="V359" i="4"/>
  <c r="U359" i="4"/>
  <c r="T359" i="4"/>
  <c r="S359" i="4"/>
  <c r="V358" i="4"/>
  <c r="U358" i="4"/>
  <c r="T358" i="4"/>
  <c r="S358" i="4"/>
  <c r="V357" i="4"/>
  <c r="U357" i="4"/>
  <c r="T357" i="4"/>
  <c r="S357" i="4"/>
  <c r="V356" i="4"/>
  <c r="U356" i="4"/>
  <c r="T356" i="4"/>
  <c r="S356" i="4"/>
  <c r="V355" i="4"/>
  <c r="U355" i="4"/>
  <c r="T355" i="4"/>
  <c r="S355" i="4"/>
  <c r="V354" i="4"/>
  <c r="U354" i="4"/>
  <c r="T354" i="4"/>
  <c r="S354" i="4"/>
  <c r="V353" i="4"/>
  <c r="U353" i="4"/>
  <c r="T353" i="4"/>
  <c r="S353" i="4"/>
  <c r="V352" i="4"/>
  <c r="U352" i="4"/>
  <c r="T352" i="4"/>
  <c r="S352" i="4"/>
  <c r="V351" i="4"/>
  <c r="U351" i="4"/>
  <c r="T351" i="4"/>
  <c r="S351" i="4"/>
  <c r="V350" i="4"/>
  <c r="U350" i="4"/>
  <c r="T350" i="4"/>
  <c r="S350" i="4"/>
  <c r="V349" i="4"/>
  <c r="U349" i="4"/>
  <c r="T349" i="4"/>
  <c r="S349" i="4"/>
  <c r="V348" i="4"/>
  <c r="U348" i="4"/>
  <c r="T348" i="4"/>
  <c r="S348" i="4"/>
  <c r="V347" i="4"/>
  <c r="U347" i="4"/>
  <c r="T347" i="4"/>
  <c r="S347" i="4"/>
  <c r="V346" i="4"/>
  <c r="U346" i="4"/>
  <c r="T346" i="4"/>
  <c r="S346" i="4"/>
  <c r="V345" i="4"/>
  <c r="U345" i="4"/>
  <c r="T345" i="4"/>
  <c r="S345" i="4"/>
  <c r="V344" i="4"/>
  <c r="U344" i="4"/>
  <c r="T344" i="4"/>
  <c r="S344" i="4"/>
  <c r="V343" i="4"/>
  <c r="U343" i="4"/>
  <c r="T343" i="4"/>
  <c r="S343" i="4"/>
  <c r="V342" i="4"/>
  <c r="U342" i="4"/>
  <c r="T342" i="4"/>
  <c r="S342" i="4"/>
  <c r="V341" i="4"/>
  <c r="U341" i="4"/>
  <c r="T341" i="4"/>
  <c r="S341" i="4"/>
  <c r="V340" i="4"/>
  <c r="U340" i="4"/>
  <c r="T340" i="4"/>
  <c r="S340" i="4"/>
  <c r="V339" i="4"/>
  <c r="U339" i="4"/>
  <c r="T339" i="4"/>
  <c r="S339" i="4"/>
  <c r="V338" i="4"/>
  <c r="U338" i="4"/>
  <c r="T338" i="4"/>
  <c r="S338" i="4"/>
  <c r="V337" i="4"/>
  <c r="U337" i="4"/>
  <c r="T337" i="4"/>
  <c r="S337" i="4"/>
  <c r="V336" i="4"/>
  <c r="U336" i="4"/>
  <c r="T336" i="4"/>
  <c r="S336" i="4"/>
  <c r="V335" i="4"/>
  <c r="U335" i="4"/>
  <c r="T335" i="4"/>
  <c r="S335" i="4"/>
  <c r="V334" i="4"/>
  <c r="U334" i="4"/>
  <c r="T334" i="4"/>
  <c r="S334" i="4"/>
  <c r="V333" i="4"/>
  <c r="U333" i="4"/>
  <c r="T333" i="4"/>
  <c r="S333" i="4"/>
  <c r="V332" i="4"/>
  <c r="U332" i="4"/>
  <c r="T332" i="4"/>
  <c r="S332" i="4"/>
  <c r="V331" i="4"/>
  <c r="U331" i="4"/>
  <c r="T331" i="4"/>
  <c r="S331" i="4"/>
  <c r="V330" i="4"/>
  <c r="U330" i="4"/>
  <c r="T330" i="4"/>
  <c r="S330" i="4"/>
  <c r="V329" i="4"/>
  <c r="U329" i="4"/>
  <c r="T329" i="4"/>
  <c r="S329" i="4"/>
  <c r="V328" i="4"/>
  <c r="U328" i="4"/>
  <c r="T328" i="4"/>
  <c r="S328" i="4"/>
  <c r="V327" i="4"/>
  <c r="U327" i="4"/>
  <c r="T327" i="4"/>
  <c r="S327" i="4"/>
  <c r="V326" i="4"/>
  <c r="U326" i="4"/>
  <c r="T326" i="4"/>
  <c r="S326" i="4"/>
  <c r="V325" i="4"/>
  <c r="U325" i="4"/>
  <c r="T325" i="4"/>
  <c r="S325" i="4"/>
  <c r="V324" i="4"/>
  <c r="U324" i="4"/>
  <c r="T324" i="4"/>
  <c r="S324" i="4"/>
  <c r="V323" i="4"/>
  <c r="U323" i="4"/>
  <c r="T323" i="4"/>
  <c r="S323" i="4"/>
  <c r="V322" i="4"/>
  <c r="U322" i="4"/>
  <c r="T322" i="4"/>
  <c r="S322" i="4"/>
  <c r="V321" i="4"/>
  <c r="U321" i="4"/>
  <c r="T321" i="4"/>
  <c r="S321" i="4"/>
  <c r="V320" i="4"/>
  <c r="U320" i="4"/>
  <c r="T320" i="4"/>
  <c r="S320" i="4"/>
  <c r="V319" i="4"/>
  <c r="U319" i="4"/>
  <c r="T319" i="4"/>
  <c r="S319" i="4"/>
  <c r="V318" i="4"/>
  <c r="U318" i="4"/>
  <c r="T318" i="4"/>
  <c r="S318" i="4"/>
  <c r="V317" i="4"/>
  <c r="U317" i="4"/>
  <c r="T317" i="4"/>
  <c r="S317" i="4"/>
  <c r="V316" i="4"/>
  <c r="U316" i="4"/>
  <c r="T316" i="4"/>
  <c r="S316" i="4"/>
  <c r="V315" i="4"/>
  <c r="U315" i="4"/>
  <c r="T315" i="4"/>
  <c r="S315" i="4"/>
  <c r="V314" i="4"/>
  <c r="U314" i="4"/>
  <c r="T314" i="4"/>
  <c r="S314" i="4"/>
  <c r="V313" i="4"/>
  <c r="U313" i="4"/>
  <c r="T313" i="4"/>
  <c r="S313" i="4"/>
  <c r="V312" i="4"/>
  <c r="U312" i="4"/>
  <c r="T312" i="4"/>
  <c r="S312" i="4"/>
  <c r="V311" i="4"/>
  <c r="U311" i="4"/>
  <c r="T311" i="4"/>
  <c r="S311" i="4"/>
  <c r="V310" i="4"/>
  <c r="U310" i="4"/>
  <c r="T310" i="4"/>
  <c r="S310" i="4"/>
  <c r="V309" i="4"/>
  <c r="U309" i="4"/>
  <c r="T309" i="4"/>
  <c r="S309" i="4"/>
  <c r="V308" i="4"/>
  <c r="U308" i="4"/>
  <c r="T308" i="4"/>
  <c r="S308" i="4"/>
  <c r="V307" i="4"/>
  <c r="U307" i="4"/>
  <c r="T307" i="4"/>
  <c r="S307" i="4"/>
  <c r="V306" i="4"/>
  <c r="U306" i="4"/>
  <c r="T306" i="4"/>
  <c r="S306" i="4"/>
  <c r="V305" i="4"/>
  <c r="U305" i="4"/>
  <c r="T305" i="4"/>
  <c r="S305" i="4"/>
  <c r="V304" i="4"/>
  <c r="U304" i="4"/>
  <c r="T304" i="4"/>
  <c r="S304" i="4"/>
  <c r="V303" i="4"/>
  <c r="U303" i="4"/>
  <c r="T303" i="4"/>
  <c r="S303" i="4"/>
  <c r="V302" i="4"/>
  <c r="U302" i="4"/>
  <c r="T302" i="4"/>
  <c r="S302" i="4"/>
  <c r="V301" i="4"/>
  <c r="U301" i="4"/>
  <c r="T301" i="4"/>
  <c r="S301" i="4"/>
  <c r="V300" i="4"/>
  <c r="U300" i="4"/>
  <c r="T300" i="4"/>
  <c r="S300" i="4"/>
  <c r="V299" i="4"/>
  <c r="U299" i="4"/>
  <c r="T299" i="4"/>
  <c r="S299" i="4"/>
  <c r="V298" i="4"/>
  <c r="U298" i="4"/>
  <c r="T298" i="4"/>
  <c r="S298" i="4"/>
  <c r="V297" i="4"/>
  <c r="U297" i="4"/>
  <c r="T297" i="4"/>
  <c r="S297" i="4"/>
  <c r="V296" i="4"/>
  <c r="U296" i="4"/>
  <c r="T296" i="4"/>
  <c r="S296" i="4"/>
  <c r="V295" i="4"/>
  <c r="U295" i="4"/>
  <c r="T295" i="4"/>
  <c r="S295" i="4"/>
  <c r="V294" i="4"/>
  <c r="U294" i="4"/>
  <c r="T294" i="4"/>
  <c r="S294" i="4"/>
  <c r="V293" i="4"/>
  <c r="U293" i="4"/>
  <c r="T293" i="4"/>
  <c r="S293" i="4"/>
  <c r="V292" i="4"/>
  <c r="U292" i="4"/>
  <c r="T292" i="4"/>
  <c r="S292" i="4"/>
  <c r="V291" i="4"/>
  <c r="U291" i="4"/>
  <c r="T291" i="4"/>
  <c r="S291" i="4"/>
  <c r="V290" i="4"/>
  <c r="U290" i="4"/>
  <c r="T290" i="4"/>
  <c r="S290" i="4"/>
  <c r="V289" i="4"/>
  <c r="U289" i="4"/>
  <c r="T289" i="4"/>
  <c r="S289" i="4"/>
  <c r="V288" i="4"/>
  <c r="U288" i="4"/>
  <c r="T288" i="4"/>
  <c r="S288" i="4"/>
  <c r="V287" i="4"/>
  <c r="U287" i="4"/>
  <c r="T287" i="4"/>
  <c r="S287" i="4"/>
  <c r="V286" i="4"/>
  <c r="U286" i="4"/>
  <c r="T286" i="4"/>
  <c r="S286" i="4"/>
  <c r="V285" i="4"/>
  <c r="U285" i="4"/>
  <c r="T285" i="4"/>
  <c r="S285" i="4"/>
  <c r="V284" i="4"/>
  <c r="U284" i="4"/>
  <c r="T284" i="4"/>
  <c r="S284" i="4"/>
  <c r="V283" i="4"/>
  <c r="U283" i="4"/>
  <c r="T283" i="4"/>
  <c r="S283" i="4"/>
  <c r="V282" i="4"/>
  <c r="U282" i="4"/>
  <c r="T282" i="4"/>
  <c r="S282" i="4"/>
  <c r="V281" i="4"/>
  <c r="U281" i="4"/>
  <c r="T281" i="4"/>
  <c r="S281" i="4"/>
  <c r="V280" i="4"/>
  <c r="U280" i="4"/>
  <c r="T280" i="4"/>
  <c r="S280" i="4"/>
  <c r="V279" i="4"/>
  <c r="U279" i="4"/>
  <c r="T279" i="4"/>
  <c r="S279" i="4"/>
  <c r="V278" i="4"/>
  <c r="U278" i="4"/>
  <c r="T278" i="4"/>
  <c r="S278" i="4"/>
  <c r="V277" i="4"/>
  <c r="U277" i="4"/>
  <c r="T277" i="4"/>
  <c r="S277" i="4"/>
  <c r="V276" i="4"/>
  <c r="U276" i="4"/>
  <c r="T276" i="4"/>
  <c r="S276" i="4"/>
  <c r="V275" i="4"/>
  <c r="U275" i="4"/>
  <c r="T275" i="4"/>
  <c r="S275" i="4"/>
  <c r="V274" i="4"/>
  <c r="U274" i="4"/>
  <c r="T274" i="4"/>
  <c r="S274" i="4"/>
  <c r="V273" i="4"/>
  <c r="U273" i="4"/>
  <c r="T273" i="4"/>
  <c r="S273" i="4"/>
  <c r="V272" i="4"/>
  <c r="U272" i="4"/>
  <c r="T272" i="4"/>
  <c r="S272" i="4"/>
  <c r="V271" i="4"/>
  <c r="U271" i="4"/>
  <c r="T271" i="4"/>
  <c r="S271" i="4"/>
  <c r="V270" i="4"/>
  <c r="U270" i="4"/>
  <c r="T270" i="4"/>
  <c r="S270" i="4"/>
  <c r="V269" i="4"/>
  <c r="U269" i="4"/>
  <c r="T269" i="4"/>
  <c r="S269" i="4"/>
  <c r="V268" i="4"/>
  <c r="U268" i="4"/>
  <c r="T268" i="4"/>
  <c r="S268" i="4"/>
  <c r="V267" i="4"/>
  <c r="U267" i="4"/>
  <c r="T267" i="4"/>
  <c r="S267" i="4"/>
  <c r="V266" i="4"/>
  <c r="U266" i="4"/>
  <c r="T266" i="4"/>
  <c r="S266" i="4"/>
  <c r="V265" i="4"/>
  <c r="U265" i="4"/>
  <c r="T265" i="4"/>
  <c r="S265" i="4"/>
  <c r="V264" i="4"/>
  <c r="U264" i="4"/>
  <c r="T264" i="4"/>
  <c r="S264" i="4"/>
  <c r="V263" i="4"/>
  <c r="U263" i="4"/>
  <c r="T263" i="4"/>
  <c r="S263" i="4"/>
  <c r="V262" i="4"/>
  <c r="U262" i="4"/>
  <c r="T262" i="4"/>
  <c r="S262" i="4"/>
  <c r="V261" i="4"/>
  <c r="U261" i="4"/>
  <c r="T261" i="4"/>
  <c r="S261" i="4"/>
  <c r="V260" i="4"/>
  <c r="U260" i="4"/>
  <c r="T260" i="4"/>
  <c r="S260" i="4"/>
  <c r="V259" i="4"/>
  <c r="U259" i="4"/>
  <c r="T259" i="4"/>
  <c r="S259" i="4"/>
  <c r="V258" i="4"/>
  <c r="U258" i="4"/>
  <c r="T258" i="4"/>
  <c r="S258" i="4"/>
  <c r="V257" i="4"/>
  <c r="U257" i="4"/>
  <c r="T257" i="4"/>
  <c r="S257" i="4"/>
  <c r="V256" i="4"/>
  <c r="U256" i="4"/>
  <c r="T256" i="4"/>
  <c r="S256" i="4"/>
  <c r="V255" i="4"/>
  <c r="U255" i="4"/>
  <c r="T255" i="4"/>
  <c r="S255" i="4"/>
  <c r="V254" i="4"/>
  <c r="U254" i="4"/>
  <c r="T254" i="4"/>
  <c r="S254" i="4"/>
  <c r="V253" i="4"/>
  <c r="U253" i="4"/>
  <c r="T253" i="4"/>
  <c r="S253" i="4"/>
  <c r="V252" i="4"/>
  <c r="U252" i="4"/>
  <c r="T252" i="4"/>
  <c r="S252" i="4"/>
  <c r="V251" i="4"/>
  <c r="U251" i="4"/>
  <c r="T251" i="4"/>
  <c r="S251" i="4"/>
  <c r="V250" i="4"/>
  <c r="U250" i="4"/>
  <c r="T250" i="4"/>
  <c r="S250" i="4"/>
  <c r="V249" i="4"/>
  <c r="U249" i="4"/>
  <c r="T249" i="4"/>
  <c r="S249" i="4"/>
  <c r="V248" i="4"/>
  <c r="U248" i="4"/>
  <c r="T248" i="4"/>
  <c r="S248" i="4"/>
  <c r="V247" i="4"/>
  <c r="U247" i="4"/>
  <c r="T247" i="4"/>
  <c r="S247" i="4"/>
  <c r="V246" i="4"/>
  <c r="U246" i="4"/>
  <c r="T246" i="4"/>
  <c r="S246" i="4"/>
  <c r="V245" i="4"/>
  <c r="U245" i="4"/>
  <c r="T245" i="4"/>
  <c r="S245" i="4"/>
  <c r="V244" i="4"/>
  <c r="U244" i="4"/>
  <c r="T244" i="4"/>
  <c r="S244" i="4"/>
  <c r="V243" i="4"/>
  <c r="U243" i="4"/>
  <c r="T243" i="4"/>
  <c r="S243" i="4"/>
  <c r="V242" i="4"/>
  <c r="U242" i="4"/>
  <c r="T242" i="4"/>
  <c r="S242" i="4"/>
  <c r="V241" i="4"/>
  <c r="U241" i="4"/>
  <c r="T241" i="4"/>
  <c r="S241" i="4"/>
  <c r="V240" i="4"/>
  <c r="U240" i="4"/>
  <c r="T240" i="4"/>
  <c r="S240" i="4"/>
  <c r="V239" i="4"/>
  <c r="U239" i="4"/>
  <c r="T239" i="4"/>
  <c r="S239" i="4"/>
  <c r="V238" i="4"/>
  <c r="U238" i="4"/>
  <c r="T238" i="4"/>
  <c r="S238" i="4"/>
  <c r="V237" i="4"/>
  <c r="U237" i="4"/>
  <c r="T237" i="4"/>
  <c r="S237" i="4"/>
  <c r="V236" i="4"/>
  <c r="U236" i="4"/>
  <c r="T236" i="4"/>
  <c r="S236" i="4"/>
  <c r="V235" i="4"/>
  <c r="U235" i="4"/>
  <c r="T235" i="4"/>
  <c r="S235" i="4"/>
  <c r="V234" i="4"/>
  <c r="U234" i="4"/>
  <c r="T234" i="4"/>
  <c r="S234" i="4"/>
  <c r="V233" i="4"/>
  <c r="U233" i="4"/>
  <c r="T233" i="4"/>
  <c r="S233" i="4"/>
  <c r="V232" i="4"/>
  <c r="U232" i="4"/>
  <c r="T232" i="4"/>
  <c r="S232" i="4"/>
  <c r="V231" i="4"/>
  <c r="U231" i="4"/>
  <c r="T231" i="4"/>
  <c r="S231" i="4"/>
  <c r="V230" i="4"/>
  <c r="U230" i="4"/>
  <c r="T230" i="4"/>
  <c r="S230" i="4"/>
  <c r="V229" i="4"/>
  <c r="U229" i="4"/>
  <c r="T229" i="4"/>
  <c r="S229" i="4"/>
  <c r="V228" i="4"/>
  <c r="U228" i="4"/>
  <c r="T228" i="4"/>
  <c r="S228" i="4"/>
  <c r="V227" i="4"/>
  <c r="U227" i="4"/>
  <c r="T227" i="4"/>
  <c r="S227" i="4"/>
  <c r="V226" i="4"/>
  <c r="U226" i="4"/>
  <c r="T226" i="4"/>
  <c r="S226" i="4"/>
  <c r="V225" i="4"/>
  <c r="U225" i="4"/>
  <c r="T225" i="4"/>
  <c r="S225" i="4"/>
  <c r="V224" i="4"/>
  <c r="U224" i="4"/>
  <c r="T224" i="4"/>
  <c r="S224" i="4"/>
  <c r="V223" i="4"/>
  <c r="U223" i="4"/>
  <c r="T223" i="4"/>
  <c r="S223" i="4"/>
  <c r="V222" i="4"/>
  <c r="U222" i="4"/>
  <c r="T222" i="4"/>
  <c r="S222" i="4"/>
  <c r="V221" i="4"/>
  <c r="U221" i="4"/>
  <c r="T221" i="4"/>
  <c r="S221" i="4"/>
  <c r="V220" i="4"/>
  <c r="U220" i="4"/>
  <c r="T220" i="4"/>
  <c r="S220" i="4"/>
  <c r="V219" i="4"/>
  <c r="U219" i="4"/>
  <c r="T219" i="4"/>
  <c r="S219" i="4"/>
  <c r="V218" i="4"/>
  <c r="U218" i="4"/>
  <c r="T218" i="4"/>
  <c r="S218" i="4"/>
  <c r="V217" i="4"/>
  <c r="U217" i="4"/>
  <c r="T217" i="4"/>
  <c r="S217" i="4"/>
  <c r="V216" i="4"/>
  <c r="U216" i="4"/>
  <c r="T216" i="4"/>
  <c r="S216" i="4"/>
  <c r="V215" i="4"/>
  <c r="U215" i="4"/>
  <c r="T215" i="4"/>
  <c r="S215" i="4"/>
  <c r="V214" i="4"/>
  <c r="U214" i="4"/>
  <c r="T214" i="4"/>
  <c r="S214" i="4"/>
  <c r="V213" i="4"/>
  <c r="U213" i="4"/>
  <c r="T213" i="4"/>
  <c r="S213" i="4"/>
  <c r="V212" i="4"/>
  <c r="U212" i="4"/>
  <c r="T212" i="4"/>
  <c r="S212" i="4"/>
  <c r="V211" i="4"/>
  <c r="U211" i="4"/>
  <c r="T211" i="4"/>
  <c r="S211" i="4"/>
  <c r="V210" i="4"/>
  <c r="U210" i="4"/>
  <c r="T210" i="4"/>
  <c r="S210" i="4"/>
  <c r="V209" i="4"/>
  <c r="U209" i="4"/>
  <c r="T209" i="4"/>
  <c r="S209" i="4"/>
  <c r="V208" i="4"/>
  <c r="U208" i="4"/>
  <c r="T208" i="4"/>
  <c r="S208" i="4"/>
  <c r="V207" i="4"/>
  <c r="U207" i="4"/>
  <c r="T207" i="4"/>
  <c r="S207" i="4"/>
  <c r="V206" i="4"/>
  <c r="U206" i="4"/>
  <c r="T206" i="4"/>
  <c r="S206" i="4"/>
  <c r="V205" i="4"/>
  <c r="U205" i="4"/>
  <c r="T205" i="4"/>
  <c r="S205" i="4"/>
  <c r="V204" i="4"/>
  <c r="U204" i="4"/>
  <c r="T204" i="4"/>
  <c r="S204" i="4"/>
  <c r="V203" i="4"/>
  <c r="U203" i="4"/>
  <c r="T203" i="4"/>
  <c r="S203" i="4"/>
  <c r="V202" i="4"/>
  <c r="U202" i="4"/>
  <c r="T202" i="4"/>
  <c r="S202" i="4"/>
  <c r="V201" i="4"/>
  <c r="U201" i="4"/>
  <c r="T201" i="4"/>
  <c r="S201" i="4"/>
  <c r="V200" i="4"/>
  <c r="U200" i="4"/>
  <c r="T200" i="4"/>
  <c r="S200" i="4"/>
  <c r="V199" i="4"/>
  <c r="U199" i="4"/>
  <c r="T199" i="4"/>
  <c r="S199" i="4"/>
  <c r="V198" i="4"/>
  <c r="U198" i="4"/>
  <c r="T198" i="4"/>
  <c r="S198" i="4"/>
  <c r="V197" i="4"/>
  <c r="U197" i="4"/>
  <c r="T197" i="4"/>
  <c r="S197" i="4"/>
  <c r="V196" i="4"/>
  <c r="U196" i="4"/>
  <c r="T196" i="4"/>
  <c r="S196" i="4"/>
  <c r="V195" i="4"/>
  <c r="U195" i="4"/>
  <c r="T195" i="4"/>
  <c r="S195" i="4"/>
  <c r="V194" i="4"/>
  <c r="U194" i="4"/>
  <c r="T194" i="4"/>
  <c r="S194" i="4"/>
  <c r="V193" i="4"/>
  <c r="U193" i="4"/>
  <c r="T193" i="4"/>
  <c r="S193" i="4"/>
  <c r="V192" i="4"/>
  <c r="U192" i="4"/>
  <c r="T192" i="4"/>
  <c r="S192" i="4"/>
  <c r="V191" i="4"/>
  <c r="U191" i="4"/>
  <c r="T191" i="4"/>
  <c r="S191" i="4"/>
  <c r="V190" i="4"/>
  <c r="U190" i="4"/>
  <c r="T190" i="4"/>
  <c r="S190" i="4"/>
  <c r="V189" i="4"/>
  <c r="U189" i="4"/>
  <c r="T189" i="4"/>
  <c r="S189" i="4"/>
  <c r="V188" i="4"/>
  <c r="U188" i="4"/>
  <c r="T188" i="4"/>
  <c r="S188" i="4"/>
  <c r="V187" i="4"/>
  <c r="U187" i="4"/>
  <c r="T187" i="4"/>
  <c r="S187" i="4"/>
  <c r="V186" i="4"/>
  <c r="U186" i="4"/>
  <c r="T186" i="4"/>
  <c r="S186" i="4"/>
  <c r="V185" i="4"/>
  <c r="U185" i="4"/>
  <c r="T185" i="4"/>
  <c r="S185" i="4"/>
  <c r="V184" i="4"/>
  <c r="U184" i="4"/>
  <c r="T184" i="4"/>
  <c r="S184" i="4"/>
  <c r="V183" i="4"/>
  <c r="U183" i="4"/>
  <c r="T183" i="4"/>
  <c r="S183" i="4"/>
  <c r="V182" i="4"/>
  <c r="U182" i="4"/>
  <c r="T182" i="4"/>
  <c r="S182" i="4"/>
  <c r="V181" i="4"/>
  <c r="U181" i="4"/>
  <c r="T181" i="4"/>
  <c r="S181" i="4"/>
  <c r="V180" i="4"/>
  <c r="U180" i="4"/>
  <c r="T180" i="4"/>
  <c r="S180" i="4"/>
  <c r="V179" i="4"/>
  <c r="U179" i="4"/>
  <c r="T179" i="4"/>
  <c r="S179" i="4"/>
  <c r="V178" i="4"/>
  <c r="U178" i="4"/>
  <c r="T178" i="4"/>
  <c r="S178" i="4"/>
  <c r="V177" i="4"/>
  <c r="U177" i="4"/>
  <c r="T177" i="4"/>
  <c r="S177" i="4"/>
  <c r="V176" i="4"/>
  <c r="U176" i="4"/>
  <c r="T176" i="4"/>
  <c r="S176" i="4"/>
  <c r="V175" i="4"/>
  <c r="U175" i="4"/>
  <c r="T175" i="4"/>
  <c r="S175" i="4"/>
  <c r="V174" i="4"/>
  <c r="U174" i="4"/>
  <c r="T174" i="4"/>
  <c r="S174" i="4"/>
  <c r="V173" i="4"/>
  <c r="U173" i="4"/>
  <c r="T173" i="4"/>
  <c r="S173" i="4"/>
  <c r="V172" i="4"/>
  <c r="U172" i="4"/>
  <c r="T172" i="4"/>
  <c r="S172" i="4"/>
  <c r="V171" i="4"/>
  <c r="U171" i="4"/>
  <c r="T171" i="4"/>
  <c r="S171" i="4"/>
  <c r="V170" i="4"/>
  <c r="U170" i="4"/>
  <c r="T170" i="4"/>
  <c r="S170" i="4"/>
  <c r="V169" i="4"/>
  <c r="U169" i="4"/>
  <c r="T169" i="4"/>
  <c r="S169" i="4"/>
  <c r="V168" i="4"/>
  <c r="U168" i="4"/>
  <c r="T168" i="4"/>
  <c r="S168" i="4"/>
  <c r="V167" i="4"/>
  <c r="U167" i="4"/>
  <c r="T167" i="4"/>
  <c r="S167" i="4"/>
  <c r="V166" i="4"/>
  <c r="U166" i="4"/>
  <c r="T166" i="4"/>
  <c r="S166" i="4"/>
  <c r="V165" i="4"/>
  <c r="U165" i="4"/>
  <c r="T165" i="4"/>
  <c r="S165" i="4"/>
  <c r="V164" i="4"/>
  <c r="U164" i="4"/>
  <c r="T164" i="4"/>
  <c r="S164" i="4"/>
  <c r="V163" i="4"/>
  <c r="U163" i="4"/>
  <c r="T163" i="4"/>
  <c r="S163" i="4"/>
  <c r="V162" i="4"/>
  <c r="U162" i="4"/>
  <c r="T162" i="4"/>
  <c r="S162" i="4"/>
  <c r="V161" i="4"/>
  <c r="U161" i="4"/>
  <c r="T161" i="4"/>
  <c r="S161" i="4"/>
  <c r="V160" i="4"/>
  <c r="U160" i="4"/>
  <c r="T160" i="4"/>
  <c r="S160" i="4"/>
  <c r="V159" i="4"/>
  <c r="U159" i="4"/>
  <c r="T159" i="4"/>
  <c r="S159" i="4"/>
  <c r="V158" i="4"/>
  <c r="U158" i="4"/>
  <c r="T158" i="4"/>
  <c r="S158" i="4"/>
  <c r="V157" i="4"/>
  <c r="U157" i="4"/>
  <c r="T157" i="4"/>
  <c r="S157" i="4"/>
  <c r="V156" i="4"/>
  <c r="U156" i="4"/>
  <c r="T156" i="4"/>
  <c r="S156" i="4"/>
  <c r="V155" i="4"/>
  <c r="U155" i="4"/>
  <c r="T155" i="4"/>
  <c r="S155" i="4"/>
  <c r="V154" i="4"/>
  <c r="U154" i="4"/>
  <c r="T154" i="4"/>
  <c r="S154" i="4"/>
  <c r="V153" i="4"/>
  <c r="U153" i="4"/>
  <c r="T153" i="4"/>
  <c r="S153" i="4"/>
  <c r="V152" i="4"/>
  <c r="U152" i="4"/>
  <c r="T152" i="4"/>
  <c r="S152" i="4"/>
  <c r="V151" i="4"/>
  <c r="U151" i="4"/>
  <c r="T151" i="4"/>
  <c r="S151" i="4"/>
  <c r="V150" i="4"/>
  <c r="U150" i="4"/>
  <c r="T150" i="4"/>
  <c r="S150" i="4"/>
  <c r="V149" i="4"/>
  <c r="U149" i="4"/>
  <c r="T149" i="4"/>
  <c r="S149" i="4"/>
  <c r="V148" i="4"/>
  <c r="U148" i="4"/>
  <c r="T148" i="4"/>
  <c r="S148" i="4"/>
  <c r="V147" i="4"/>
  <c r="U147" i="4"/>
  <c r="T147" i="4"/>
  <c r="S147" i="4"/>
  <c r="V146" i="4"/>
  <c r="U146" i="4"/>
  <c r="T146" i="4"/>
  <c r="S146" i="4"/>
  <c r="V145" i="4"/>
  <c r="U145" i="4"/>
  <c r="T145" i="4"/>
  <c r="S145" i="4"/>
  <c r="V144" i="4"/>
  <c r="U144" i="4"/>
  <c r="T144" i="4"/>
  <c r="S144" i="4"/>
  <c r="V143" i="4"/>
  <c r="U143" i="4"/>
  <c r="T143" i="4"/>
  <c r="S143" i="4"/>
  <c r="V142" i="4"/>
  <c r="U142" i="4"/>
  <c r="T142" i="4"/>
  <c r="S142" i="4"/>
  <c r="V141" i="4"/>
  <c r="U141" i="4"/>
  <c r="T141" i="4"/>
  <c r="S141" i="4"/>
  <c r="V140" i="4"/>
  <c r="U140" i="4"/>
  <c r="T140" i="4"/>
  <c r="S140" i="4"/>
  <c r="V139" i="4"/>
  <c r="U139" i="4"/>
  <c r="T139" i="4"/>
  <c r="S139" i="4"/>
  <c r="V138" i="4"/>
  <c r="U138" i="4"/>
  <c r="T138" i="4"/>
  <c r="S138" i="4"/>
  <c r="V137" i="4"/>
  <c r="U137" i="4"/>
  <c r="T137" i="4"/>
  <c r="S137" i="4"/>
  <c r="V136" i="4"/>
  <c r="U136" i="4"/>
  <c r="T136" i="4"/>
  <c r="S136" i="4"/>
  <c r="V135" i="4"/>
  <c r="U135" i="4"/>
  <c r="T135" i="4"/>
  <c r="S135" i="4"/>
  <c r="V134" i="4"/>
  <c r="U134" i="4"/>
  <c r="T134" i="4"/>
  <c r="S134" i="4"/>
  <c r="V133" i="4"/>
  <c r="U133" i="4"/>
  <c r="T133" i="4"/>
  <c r="S133" i="4"/>
  <c r="V132" i="4"/>
  <c r="U132" i="4"/>
  <c r="T132" i="4"/>
  <c r="S132" i="4"/>
  <c r="V131" i="4"/>
  <c r="U131" i="4"/>
  <c r="T131" i="4"/>
  <c r="S131" i="4"/>
  <c r="V130" i="4"/>
  <c r="U130" i="4"/>
  <c r="T130" i="4"/>
  <c r="S130" i="4"/>
  <c r="V129" i="4"/>
  <c r="U129" i="4"/>
  <c r="T129" i="4"/>
  <c r="S129" i="4"/>
  <c r="V128" i="4"/>
  <c r="U128" i="4"/>
  <c r="T128" i="4"/>
  <c r="S128" i="4"/>
  <c r="V127" i="4"/>
  <c r="U127" i="4"/>
  <c r="T127" i="4"/>
  <c r="S127" i="4"/>
  <c r="V126" i="4"/>
  <c r="U126" i="4"/>
  <c r="T126" i="4"/>
  <c r="S126" i="4"/>
  <c r="V125" i="4"/>
  <c r="U125" i="4"/>
  <c r="T125" i="4"/>
  <c r="S125" i="4"/>
  <c r="V124" i="4"/>
  <c r="U124" i="4"/>
  <c r="T124" i="4"/>
  <c r="S124" i="4"/>
  <c r="V123" i="4"/>
  <c r="U123" i="4"/>
  <c r="T123" i="4"/>
  <c r="S123" i="4"/>
  <c r="V122" i="4"/>
  <c r="U122" i="4"/>
  <c r="T122" i="4"/>
  <c r="S122" i="4"/>
  <c r="V121" i="4"/>
  <c r="U121" i="4"/>
  <c r="T121" i="4"/>
  <c r="S121" i="4"/>
  <c r="V120" i="4"/>
  <c r="U120" i="4"/>
  <c r="T120" i="4"/>
  <c r="S120" i="4"/>
  <c r="V119" i="4"/>
  <c r="U119" i="4"/>
  <c r="T119" i="4"/>
  <c r="S119" i="4"/>
  <c r="V118" i="4"/>
  <c r="U118" i="4"/>
  <c r="T118" i="4"/>
  <c r="S118" i="4"/>
  <c r="V117" i="4"/>
  <c r="U117" i="4"/>
  <c r="T117" i="4"/>
  <c r="S117" i="4"/>
  <c r="V116" i="4"/>
  <c r="U116" i="4"/>
  <c r="T116" i="4"/>
  <c r="S116" i="4"/>
  <c r="V115" i="4"/>
  <c r="U115" i="4"/>
  <c r="T115" i="4"/>
  <c r="S115" i="4"/>
  <c r="V114" i="4"/>
  <c r="U114" i="4"/>
  <c r="T114" i="4"/>
  <c r="S114" i="4"/>
  <c r="V113" i="4"/>
  <c r="U113" i="4"/>
  <c r="T113" i="4"/>
  <c r="S113" i="4"/>
  <c r="V112" i="4"/>
  <c r="U112" i="4"/>
  <c r="T112" i="4"/>
  <c r="S112" i="4"/>
  <c r="V111" i="4"/>
  <c r="U111" i="4"/>
  <c r="T111" i="4"/>
  <c r="S111" i="4"/>
  <c r="V110" i="4"/>
  <c r="U110" i="4"/>
  <c r="T110" i="4"/>
  <c r="S110" i="4"/>
  <c r="V109" i="4"/>
  <c r="U109" i="4"/>
  <c r="T109" i="4"/>
  <c r="S109" i="4"/>
  <c r="V108" i="4"/>
  <c r="U108" i="4"/>
  <c r="T108" i="4"/>
  <c r="S108" i="4"/>
  <c r="V107" i="4"/>
  <c r="U107" i="4"/>
  <c r="T107" i="4"/>
  <c r="S107" i="4"/>
  <c r="V106" i="4"/>
  <c r="U106" i="4"/>
  <c r="T106" i="4"/>
  <c r="S106" i="4"/>
  <c r="V105" i="4"/>
  <c r="U105" i="4"/>
  <c r="T105" i="4"/>
  <c r="S105" i="4"/>
  <c r="V104" i="4"/>
  <c r="U104" i="4"/>
  <c r="T104" i="4"/>
  <c r="S104" i="4"/>
  <c r="V103" i="4"/>
  <c r="U103" i="4"/>
  <c r="T103" i="4"/>
  <c r="S103" i="4"/>
  <c r="V102" i="4"/>
  <c r="U102" i="4"/>
  <c r="T102" i="4"/>
  <c r="S102" i="4"/>
  <c r="V101" i="4"/>
  <c r="U101" i="4"/>
  <c r="T101" i="4"/>
  <c r="S101" i="4"/>
  <c r="V100" i="4"/>
  <c r="U100" i="4"/>
  <c r="T100" i="4"/>
  <c r="S100" i="4"/>
  <c r="V99" i="4"/>
  <c r="U99" i="4"/>
  <c r="T99" i="4"/>
  <c r="S99" i="4"/>
  <c r="V98" i="4"/>
  <c r="U98" i="4"/>
  <c r="T98" i="4"/>
  <c r="S98" i="4"/>
  <c r="V97" i="4"/>
  <c r="U97" i="4"/>
  <c r="T97" i="4"/>
  <c r="S97" i="4"/>
  <c r="V96" i="4"/>
  <c r="U96" i="4"/>
  <c r="T96" i="4"/>
  <c r="S96" i="4"/>
  <c r="V95" i="4"/>
  <c r="U95" i="4"/>
  <c r="T95" i="4"/>
  <c r="S95" i="4"/>
  <c r="V94" i="4"/>
  <c r="U94" i="4"/>
  <c r="T94" i="4"/>
  <c r="S94" i="4"/>
  <c r="V93" i="4"/>
  <c r="U93" i="4"/>
  <c r="T93" i="4"/>
  <c r="S93" i="4"/>
  <c r="V92" i="4"/>
  <c r="U92" i="4"/>
  <c r="T92" i="4"/>
  <c r="S92" i="4"/>
  <c r="V91" i="4"/>
  <c r="U91" i="4"/>
  <c r="T91" i="4"/>
  <c r="S91" i="4"/>
  <c r="V90" i="4"/>
  <c r="U90" i="4"/>
  <c r="T90" i="4"/>
  <c r="S90" i="4"/>
  <c r="V89" i="4"/>
  <c r="U89" i="4"/>
  <c r="T89" i="4"/>
  <c r="S89" i="4"/>
  <c r="V88" i="4"/>
  <c r="U88" i="4"/>
  <c r="T88" i="4"/>
  <c r="S88" i="4"/>
  <c r="V87" i="4"/>
  <c r="U87" i="4"/>
  <c r="T87" i="4"/>
  <c r="S87" i="4"/>
  <c r="V86" i="4"/>
  <c r="U86" i="4"/>
  <c r="T86" i="4"/>
  <c r="S86" i="4"/>
  <c r="V85" i="4"/>
  <c r="U85" i="4"/>
  <c r="T85" i="4"/>
  <c r="S85" i="4"/>
  <c r="V84" i="4"/>
  <c r="U84" i="4"/>
  <c r="T84" i="4"/>
  <c r="S84" i="4"/>
  <c r="V83" i="4"/>
  <c r="U83" i="4"/>
  <c r="T83" i="4"/>
  <c r="S83" i="4"/>
  <c r="V82" i="4"/>
  <c r="U82" i="4"/>
  <c r="T82" i="4"/>
  <c r="S82" i="4"/>
  <c r="V81" i="4"/>
  <c r="U81" i="4"/>
  <c r="T81" i="4"/>
  <c r="S81" i="4"/>
  <c r="V80" i="4"/>
  <c r="U80" i="4"/>
  <c r="T80" i="4"/>
  <c r="S80" i="4"/>
  <c r="V79" i="4"/>
  <c r="U79" i="4"/>
  <c r="T79" i="4"/>
  <c r="S79" i="4"/>
  <c r="V78" i="4"/>
  <c r="U78" i="4"/>
  <c r="T78" i="4"/>
  <c r="S78" i="4"/>
  <c r="V77" i="4"/>
  <c r="U77" i="4"/>
  <c r="T77" i="4"/>
  <c r="S77" i="4"/>
  <c r="V76" i="4"/>
  <c r="U76" i="4"/>
  <c r="T76" i="4"/>
  <c r="S76" i="4"/>
  <c r="V75" i="4"/>
  <c r="U75" i="4"/>
  <c r="T75" i="4"/>
  <c r="S75" i="4"/>
  <c r="V74" i="4"/>
  <c r="U74" i="4"/>
  <c r="T74" i="4"/>
  <c r="S74" i="4"/>
  <c r="V73" i="4"/>
  <c r="U73" i="4"/>
  <c r="T73" i="4"/>
  <c r="S73" i="4"/>
  <c r="V72" i="4"/>
  <c r="U72" i="4"/>
  <c r="T72" i="4"/>
  <c r="S72" i="4"/>
  <c r="V71" i="4"/>
  <c r="U71" i="4"/>
  <c r="T71" i="4"/>
  <c r="S71" i="4"/>
  <c r="V70" i="4"/>
  <c r="U70" i="4"/>
  <c r="T70" i="4"/>
  <c r="S70" i="4"/>
  <c r="V69" i="4"/>
  <c r="U69" i="4"/>
  <c r="T69" i="4"/>
  <c r="S69" i="4"/>
  <c r="V68" i="4"/>
  <c r="U68" i="4"/>
  <c r="T68" i="4"/>
  <c r="S68" i="4"/>
  <c r="V67" i="4"/>
  <c r="U67" i="4"/>
  <c r="T67" i="4"/>
  <c r="S67" i="4"/>
  <c r="V66" i="4"/>
  <c r="U66" i="4"/>
  <c r="T66" i="4"/>
  <c r="S66" i="4"/>
  <c r="V65" i="4"/>
  <c r="U65" i="4"/>
  <c r="T65" i="4"/>
  <c r="S65" i="4"/>
  <c r="V64" i="4"/>
  <c r="U64" i="4"/>
  <c r="T64" i="4"/>
  <c r="S64" i="4"/>
  <c r="V63" i="4"/>
  <c r="U63" i="4"/>
  <c r="T63" i="4"/>
  <c r="S63" i="4"/>
  <c r="V62" i="4"/>
  <c r="U62" i="4"/>
  <c r="T62" i="4"/>
  <c r="S62" i="4"/>
  <c r="V61" i="4"/>
  <c r="U61" i="4"/>
  <c r="T61" i="4"/>
  <c r="S61" i="4"/>
  <c r="V60" i="4"/>
  <c r="U60" i="4"/>
  <c r="T60" i="4"/>
  <c r="S60" i="4"/>
  <c r="V59" i="4"/>
  <c r="U59" i="4"/>
  <c r="T59" i="4"/>
  <c r="S59" i="4"/>
  <c r="V58" i="4"/>
  <c r="U58" i="4"/>
  <c r="T58" i="4"/>
  <c r="S58" i="4"/>
  <c r="V57" i="4"/>
  <c r="U57" i="4"/>
  <c r="T57" i="4"/>
  <c r="S57" i="4"/>
  <c r="V56" i="4"/>
  <c r="U56" i="4"/>
  <c r="T56" i="4"/>
  <c r="S56" i="4"/>
  <c r="V55" i="4"/>
  <c r="U55" i="4"/>
  <c r="T55" i="4"/>
  <c r="S55" i="4"/>
  <c r="V54" i="4"/>
  <c r="U54" i="4"/>
  <c r="T54" i="4"/>
  <c r="S54" i="4"/>
  <c r="V53" i="4"/>
  <c r="U53" i="4"/>
  <c r="T53" i="4"/>
  <c r="S53" i="4"/>
  <c r="V52" i="4"/>
  <c r="U52" i="4"/>
  <c r="T52" i="4"/>
  <c r="S52" i="4"/>
  <c r="V51" i="4"/>
  <c r="U51" i="4"/>
  <c r="T51" i="4"/>
  <c r="S51" i="4"/>
  <c r="V50" i="4"/>
  <c r="U50" i="4"/>
  <c r="T50" i="4"/>
  <c r="S50" i="4"/>
  <c r="V49" i="4"/>
  <c r="U49" i="4"/>
  <c r="T49" i="4"/>
  <c r="S49" i="4"/>
  <c r="V48" i="4"/>
  <c r="U48" i="4"/>
  <c r="T48" i="4"/>
  <c r="S48" i="4"/>
  <c r="V47" i="4"/>
  <c r="U47" i="4"/>
  <c r="T47" i="4"/>
  <c r="S47" i="4"/>
  <c r="V46" i="4"/>
  <c r="U46" i="4"/>
  <c r="T46" i="4"/>
  <c r="S46" i="4"/>
  <c r="V45" i="4"/>
  <c r="U45" i="4"/>
  <c r="T45" i="4"/>
  <c r="S45" i="4"/>
  <c r="V44" i="4"/>
  <c r="U44" i="4"/>
  <c r="T44" i="4"/>
  <c r="S44" i="4"/>
  <c r="V43" i="4"/>
  <c r="U43" i="4"/>
  <c r="T43" i="4"/>
  <c r="S43" i="4"/>
  <c r="V42" i="4"/>
  <c r="U42" i="4"/>
  <c r="T42" i="4"/>
  <c r="S42" i="4"/>
  <c r="V41" i="4"/>
  <c r="U41" i="4"/>
  <c r="T41" i="4"/>
  <c r="S41" i="4"/>
  <c r="V40" i="4"/>
  <c r="U40" i="4"/>
  <c r="T40" i="4"/>
  <c r="S40" i="4"/>
  <c r="V39" i="4"/>
  <c r="U39" i="4"/>
  <c r="T39" i="4"/>
  <c r="S39" i="4"/>
  <c r="V38" i="4"/>
  <c r="U38" i="4"/>
  <c r="T38" i="4"/>
  <c r="S38" i="4"/>
  <c r="V37" i="4"/>
  <c r="U37" i="4"/>
  <c r="T37" i="4"/>
  <c r="S37" i="4"/>
  <c r="V36" i="4"/>
  <c r="U36" i="4"/>
  <c r="T36" i="4"/>
  <c r="S36" i="4"/>
  <c r="V35" i="4"/>
  <c r="U35" i="4"/>
  <c r="T35" i="4"/>
  <c r="S35" i="4"/>
  <c r="V34" i="4"/>
  <c r="U34" i="4"/>
  <c r="T34" i="4"/>
  <c r="S34" i="4"/>
  <c r="V33" i="4"/>
  <c r="U33" i="4"/>
  <c r="T33" i="4"/>
  <c r="S33" i="4"/>
  <c r="V32" i="4"/>
  <c r="U32" i="4"/>
  <c r="T32" i="4"/>
  <c r="S32" i="4"/>
  <c r="V31" i="4"/>
  <c r="U31" i="4"/>
  <c r="T31" i="4"/>
  <c r="S31" i="4"/>
  <c r="V30" i="4"/>
  <c r="U30" i="4"/>
  <c r="T30" i="4"/>
  <c r="S30" i="4"/>
  <c r="V29" i="4"/>
  <c r="U29" i="4"/>
  <c r="T29" i="4"/>
  <c r="S29" i="4"/>
  <c r="V28" i="4"/>
  <c r="U28" i="4"/>
  <c r="T28" i="4"/>
  <c r="S28" i="4"/>
  <c r="V27" i="4"/>
  <c r="U27" i="4"/>
  <c r="T27" i="4"/>
  <c r="S27" i="4"/>
  <c r="V26" i="4"/>
  <c r="U26" i="4"/>
  <c r="T26" i="4"/>
  <c r="S26" i="4"/>
  <c r="V25" i="4"/>
  <c r="U25" i="4"/>
  <c r="T25" i="4"/>
  <c r="S25" i="4"/>
  <c r="V24" i="4"/>
  <c r="U24" i="4"/>
  <c r="T24" i="4"/>
  <c r="S24" i="4"/>
  <c r="V23" i="4"/>
  <c r="U23" i="4"/>
  <c r="T23" i="4"/>
  <c r="S23" i="4"/>
  <c r="V22" i="4"/>
  <c r="U22" i="4"/>
  <c r="T22" i="4"/>
  <c r="S22" i="4"/>
  <c r="V21" i="4"/>
  <c r="U21" i="4"/>
  <c r="T21" i="4"/>
  <c r="S21" i="4"/>
  <c r="V20" i="4"/>
  <c r="U20" i="4"/>
  <c r="T20" i="4"/>
  <c r="S20" i="4"/>
  <c r="V19" i="4"/>
  <c r="U19" i="4"/>
  <c r="T19" i="4"/>
  <c r="S19" i="4"/>
  <c r="V18" i="4"/>
  <c r="U18" i="4"/>
  <c r="T18" i="4"/>
  <c r="S18" i="4"/>
  <c r="V17" i="4"/>
  <c r="U17" i="4"/>
  <c r="T17" i="4"/>
  <c r="S17" i="4"/>
  <c r="V16" i="4"/>
  <c r="U16" i="4"/>
  <c r="T16" i="4"/>
  <c r="S16" i="4"/>
  <c r="V15" i="4"/>
  <c r="U15" i="4"/>
  <c r="T15" i="4"/>
  <c r="S15" i="4"/>
  <c r="V14" i="4"/>
  <c r="U14" i="4"/>
  <c r="T14" i="4"/>
  <c r="S14" i="4"/>
  <c r="V13" i="4"/>
  <c r="U13" i="4"/>
  <c r="T13" i="4"/>
  <c r="S13" i="4"/>
  <c r="V12" i="4"/>
  <c r="U12" i="4"/>
  <c r="T12" i="4"/>
  <c r="S12" i="4"/>
  <c r="V11" i="4"/>
  <c r="U11" i="4"/>
  <c r="T11" i="4"/>
  <c r="S11" i="4"/>
  <c r="V10" i="4"/>
  <c r="U10" i="4"/>
  <c r="T10" i="4"/>
  <c r="S10" i="4"/>
  <c r="V9" i="4"/>
  <c r="U9" i="4"/>
  <c r="T9" i="4"/>
  <c r="S9" i="4"/>
  <c r="V8" i="4"/>
  <c r="U8" i="4"/>
  <c r="T8" i="4"/>
  <c r="S8" i="4"/>
  <c r="V7" i="4"/>
  <c r="U7" i="4"/>
  <c r="T7" i="4"/>
  <c r="S7" i="4"/>
  <c r="V6" i="4"/>
  <c r="U6" i="4"/>
  <c r="T6" i="4"/>
  <c r="S6" i="4"/>
  <c r="V5" i="4"/>
  <c r="U5" i="4"/>
  <c r="T5" i="4"/>
  <c r="S5" i="4"/>
  <c r="V4" i="4"/>
  <c r="U4" i="4"/>
  <c r="T4" i="4"/>
  <c r="S4" i="4"/>
  <c r="V3" i="4"/>
  <c r="U3" i="4"/>
  <c r="T3" i="4"/>
  <c r="S3" i="4"/>
  <c r="V2" i="4"/>
  <c r="U2" i="4"/>
  <c r="T2" i="4"/>
  <c r="S2" i="4"/>
  <c r="I6" i="1" l="1"/>
  <c r="B11" i="2"/>
  <c r="B15" i="2"/>
  <c r="A6" i="1"/>
</calcChain>
</file>

<file path=xl/sharedStrings.xml><?xml version="1.0" encoding="utf-8"?>
<sst xmlns="http://schemas.openxmlformats.org/spreadsheetml/2006/main" count="294" uniqueCount="198">
  <si>
    <t>Planilha Gratuita de Agendamento de Docas</t>
  </si>
  <si>
    <t>JGM4 Consultoria Logística</t>
  </si>
  <si>
    <t>Use este modelo para organizar recebimentos, fornecedores, transportadoras, docas, horários, atrasos, no-show e tempos operacionais. A planilha foi pensada para operações pequenas e médias e pode ser adaptada livremente.</t>
  </si>
  <si>
    <t>COMO COMEÇAR</t>
  </si>
  <si>
    <t>Cadastre a operação</t>
  </si>
  <si>
    <t>Na aba Cadastros, substitua os exemplos de docas, fornecedores, transportadoras e tipos de carga.</t>
  </si>
  <si>
    <t>Exclua os exemplos</t>
  </si>
  <si>
    <t>Na aba Agenda, as linhas com ID “EXEMPLO-...” são demonstrativas. Exclua o conteúdo das linhas 2 a 9 antes do uso real; preserve as fórmulas nas colunas S a V.</t>
  </si>
  <si>
    <t>Preencha a agenda</t>
  </si>
  <si>
    <t>Informe data, horário previsto, doca, parceiro, carga, veículo e status. Use um ID único para cada agendamento.</t>
  </si>
  <si>
    <t>Atualize os horários reais</t>
  </si>
  <si>
    <t>Registre chegada, início e fim do atendimento. Atraso, espera e atendimento são calculados automaticamente em minutos.</t>
  </si>
  <si>
    <t>Registre no-show</t>
  </si>
  <si>
    <t>Selecione o status “No-show”. A coluna No-show será preenchida automaticamente com “Sim”.</t>
  </si>
  <si>
    <t>Acompanhe os indicadores</t>
  </si>
  <si>
    <t>As abas Indicadores e Dashboard resumem volume, conclusão, no-show, cancelamento, reagendamento e tempos médios.</t>
  </si>
  <si>
    <t>SIGNIFICADO DOS STATUS</t>
  </si>
  <si>
    <t>Agendado</t>
  </si>
  <si>
    <t>Horário reservado, ainda sem confirmação final.</t>
  </si>
  <si>
    <t>Confirmado</t>
  </si>
  <si>
    <t>Agendamento validado com o parceiro.</t>
  </si>
  <si>
    <t>Em espera</t>
  </si>
  <si>
    <t>Veículo chegou e aguarda início.</t>
  </si>
  <si>
    <t>Em atendimento</t>
  </si>
  <si>
    <t>Carga ou descarga em execução.</t>
  </si>
  <si>
    <t>Concluído</t>
  </si>
  <si>
    <t>Atendimento encerrado.</t>
  </si>
  <si>
    <t>Reagendado</t>
  </si>
  <si>
    <t>Movido para outra data ou horário.</t>
  </si>
  <si>
    <t>Cancelado</t>
  </si>
  <si>
    <t>Agendamento cancelado antes do atendimento.</t>
  </si>
  <si>
    <t>No-show</t>
  </si>
  <si>
    <t>Veículo não compareceu à janela reservada.</t>
  </si>
  <si>
    <t>INTERPRETAÇÃO DOS INDICADORES</t>
  </si>
  <si>
    <t>Use os indicadores como tendência da sua própria operação. Não existe meta universal para pontualidade, espera, atendimento ou ocupação. Compare períodos equivalentes, investigue causas e segmente por doca, fornecedor e tipo de carga antes de tomar decisões.</t>
  </si>
  <si>
    <t>Sua operação cresceu além da planilha?
Conheça o Doca Certa — sistema de agendamento e gestão de docas.
docacerta.com.br</t>
  </si>
  <si>
    <t>Cadastros da Operação</t>
  </si>
  <si>
    <t>Substitua os exemplos pelos dados reais. As listas alimentam os campos da aba Agenda.</t>
  </si>
  <si>
    <t>DOCAS</t>
  </si>
  <si>
    <t>Doca 01</t>
  </si>
  <si>
    <t>Doca 02</t>
  </si>
  <si>
    <t>Doca 03</t>
  </si>
  <si>
    <t>FORNECEDORES</t>
  </si>
  <si>
    <t>Fornecedor</t>
  </si>
  <si>
    <t>CNPJ</t>
  </si>
  <si>
    <t>Contato</t>
  </si>
  <si>
    <t>Telefone</t>
  </si>
  <si>
    <t>E-mail</t>
  </si>
  <si>
    <t>Observação</t>
  </si>
  <si>
    <t>Fornecedor Alfa</t>
  </si>
  <si>
    <t>00.000.000/0001-01</t>
  </si>
  <si>
    <t>Ana Lima</t>
  </si>
  <si>
    <t>(11) 90000-0001</t>
  </si>
  <si>
    <t>ana@exemplo.com</t>
  </si>
  <si>
    <t>EXEMPLO</t>
  </si>
  <si>
    <t>Fornecedor Beta</t>
  </si>
  <si>
    <t>00.000.000/0001-02</t>
  </si>
  <si>
    <t>Carlos Melo</t>
  </si>
  <si>
    <t>(11) 90000-0002</t>
  </si>
  <si>
    <t>carlos@exemplo.com</t>
  </si>
  <si>
    <t>Fornecedor Gama</t>
  </si>
  <si>
    <t>00.000.000/0001-03</t>
  </si>
  <si>
    <t>Paula Reis</t>
  </si>
  <si>
    <t>(11) 90000-0003</t>
  </si>
  <si>
    <t>paula@exemplo.com</t>
  </si>
  <si>
    <t>TRANSPORTADORAS</t>
  </si>
  <si>
    <t>Transportadora</t>
  </si>
  <si>
    <t>Transportadora Rota</t>
  </si>
  <si>
    <t>João Alves</t>
  </si>
  <si>
    <t>(11) 91111-0001</t>
  </si>
  <si>
    <t>joao@exemplo.com</t>
  </si>
  <si>
    <t>Transportadora Via</t>
  </si>
  <si>
    <t>Marina Luz</t>
  </si>
  <si>
    <t>(11) 91111-0002</t>
  </si>
  <si>
    <t>marina@exemplo.com</t>
  </si>
  <si>
    <t>Transportadora Sul</t>
  </si>
  <si>
    <t>Rui Costa</t>
  </si>
  <si>
    <t>(11) 91111-0003</t>
  </si>
  <si>
    <t>rui@exemplo.com</t>
  </si>
  <si>
    <t>TIPOS DE CARGA</t>
  </si>
  <si>
    <t>Paletizada</t>
  </si>
  <si>
    <t>Batida</t>
  </si>
  <si>
    <t>Granel</t>
  </si>
  <si>
    <t>Contêiner</t>
  </si>
  <si>
    <t>Devolução</t>
  </si>
  <si>
    <t>Outros</t>
  </si>
  <si>
    <t>UNIDADES</t>
  </si>
  <si>
    <t>Paletes</t>
  </si>
  <si>
    <t>Caixas</t>
  </si>
  <si>
    <t>Unidades</t>
  </si>
  <si>
    <t>Quilos</t>
  </si>
  <si>
    <t>Toneladas</t>
  </si>
  <si>
    <t>Litros</t>
  </si>
  <si>
    <t>STATUS</t>
  </si>
  <si>
    <t>ID</t>
  </si>
  <si>
    <t>Data</t>
  </si>
  <si>
    <t>Horário Previsto</t>
  </si>
  <si>
    <t>Doca</t>
  </si>
  <si>
    <t>Pedido</t>
  </si>
  <si>
    <t>Nota Fiscal</t>
  </si>
  <si>
    <t>Tipo de Carga</t>
  </si>
  <si>
    <t>Quantidade</t>
  </si>
  <si>
    <t>Unidade</t>
  </si>
  <si>
    <t>Placa</t>
  </si>
  <si>
    <t>Motorista</t>
  </si>
  <si>
    <t>Status</t>
  </si>
  <si>
    <t>Horário de Chegada</t>
  </si>
  <si>
    <t>Início do Atendimento</t>
  </si>
  <si>
    <t>Fim do Atendimento</t>
  </si>
  <si>
    <t>Atraso (min)</t>
  </si>
  <si>
    <t>Tempo de Espera (min)</t>
  </si>
  <si>
    <t>Tempo de Atendimento (min)</t>
  </si>
  <si>
    <t>Observações</t>
  </si>
  <si>
    <t>EXEMPLO-001</t>
  </si>
  <si>
    <t>24/08/2026</t>
  </si>
  <si>
    <t>PED-1001</t>
  </si>
  <si>
    <t>NF-5001</t>
  </si>
  <si>
    <t>ABC1D23</t>
  </si>
  <si>
    <t>José Silva</t>
  </si>
  <si>
    <t>(11) 98888-1001</t>
  </si>
  <si>
    <t>Descarga sem ocorrência.</t>
  </si>
  <si>
    <t>EXEMPLO-002</t>
  </si>
  <si>
    <t>PED-1002</t>
  </si>
  <si>
    <t>NF-5002</t>
  </si>
  <si>
    <t>EFG4H56</t>
  </si>
  <si>
    <t>Marcos Lima</t>
  </si>
  <si>
    <t>(11) 98888-1002</t>
  </si>
  <si>
    <t>Chegada antecipada.</t>
  </si>
  <si>
    <t>EXEMPLO-003</t>
  </si>
  <si>
    <t>PED-1003</t>
  </si>
  <si>
    <t>NF-5003</t>
  </si>
  <si>
    <t>IJK7L89</t>
  </si>
  <si>
    <t>André Souza</t>
  </si>
  <si>
    <t>(11) 98888-1003</t>
  </si>
  <si>
    <t>Fornecedor não compareceu.</t>
  </si>
  <si>
    <t>EXEMPLO-004</t>
  </si>
  <si>
    <t>25/08/2026</t>
  </si>
  <si>
    <t>PED-1004</t>
  </si>
  <si>
    <t>NF-5004</t>
  </si>
  <si>
    <t>MNO1P23</t>
  </si>
  <si>
    <t>Lucas Reis</t>
  </si>
  <si>
    <t>(11) 98888-1004</t>
  </si>
  <si>
    <t>Cancelado com antecedência.</t>
  </si>
  <si>
    <t>EXEMPLO-005</t>
  </si>
  <si>
    <t>PED-1005</t>
  </si>
  <si>
    <t>NF-5005</t>
  </si>
  <si>
    <t>QRS4T56</t>
  </si>
  <si>
    <t>Paulo Nunes</t>
  </si>
  <si>
    <t>(11) 98888-1005</t>
  </si>
  <si>
    <t>Atendimento em curso.</t>
  </si>
  <si>
    <t>EXEMPLO-006</t>
  </si>
  <si>
    <t>PED-1006</t>
  </si>
  <si>
    <t>NF-5006</t>
  </si>
  <si>
    <t>UVW7X89</t>
  </si>
  <si>
    <t>Rafael Dias</t>
  </si>
  <si>
    <t>(11) 98888-1006</t>
  </si>
  <si>
    <t>Movido para o dia seguinte.</t>
  </si>
  <si>
    <t>EXEMPLO-007</t>
  </si>
  <si>
    <t>26/08/2026</t>
  </si>
  <si>
    <t>PED-1007</t>
  </si>
  <si>
    <t>NF-5007</t>
  </si>
  <si>
    <t>YZA1B23</t>
  </si>
  <si>
    <t>Fábio Melo</t>
  </si>
  <si>
    <t>(11) 98888-1007</t>
  </si>
  <si>
    <t>Documentação confirmada.</t>
  </si>
  <si>
    <t>EXEMPLO-008</t>
  </si>
  <si>
    <t>PED-1008</t>
  </si>
  <si>
    <t>NF-5008</t>
  </si>
  <si>
    <t>CDE4F56</t>
  </si>
  <si>
    <t>Diego Alves</t>
  </si>
  <si>
    <t>(11) 98888-1008</t>
  </si>
  <si>
    <t>Aguardando confirmação.</t>
  </si>
  <si>
    <t>Indicadores de Recebimento</t>
  </si>
  <si>
    <t>Atualização automática a partir da aba Agenda. Resultados demonstrativos enquanto os IDs EXEMPLO estiverem presentes.</t>
  </si>
  <si>
    <t>RESUMO</t>
  </si>
  <si>
    <t>Total de Agendamentos</t>
  </si>
  <si>
    <t>Concluídos</t>
  </si>
  <si>
    <t>No-shows</t>
  </si>
  <si>
    <t>Cancelados</t>
  </si>
  <si>
    <t>Reagendados</t>
  </si>
  <si>
    <t>% de No-show</t>
  </si>
  <si>
    <t>Tempo Médio de Espera</t>
  </si>
  <si>
    <t>Tempo Médio de Atendimento</t>
  </si>
  <si>
    <t>Atraso Médio</t>
  </si>
  <si>
    <t>Quantidade de cargas por dia</t>
  </si>
  <si>
    <t>ATENDIMENTOS POR FORNECEDOR</t>
  </si>
  <si>
    <t>Compare períodos equivalentes e investigue os desvios. Um atraso médio pode esconder parceiros ou horários críticos. Use os filtros da Agenda para segmentar os dados e evite transformar médias em metas universais.</t>
  </si>
  <si>
    <t>Dashboard de Agendamento de Docas</t>
  </si>
  <si>
    <t>Visão gerencial automática — exemplos demonstrativos devem ser excluídos antes do uso real.</t>
  </si>
  <si>
    <t>Agendamentos</t>
  </si>
  <si>
    <t>Atraso médio</t>
  </si>
  <si>
    <t>Espera média</t>
  </si>
  <si>
    <t>Atendimento médio</t>
  </si>
  <si>
    <t>27/08/2026</t>
  </si>
  <si>
    <t>28/08/2026</t>
  </si>
  <si>
    <t>29/08/2026</t>
  </si>
  <si>
    <t>30/08/2026</t>
  </si>
  <si>
    <t>Sua operação cresceu além da planilha? Conheça o Doca Certa — sistema de agendamento e gestão de docas. docacerta.com.br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</si>
</sst>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\y\y\y\y"/>
    <numFmt numFmtId="165" formatCode="#,000"/>
    <numFmt numFmtId="166" formatCode="#,#00%"/>
    <numFmt numFmtId="167" formatCode="#,#00\ &quot;min&quot;"/>
    <numFmt numFmtId="168" formatCode="#,#00"/>
    <numFmt numFmtId="169" formatCode="dd/mm"/>
  </numFmts>
  <fonts count="1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rgb="FFFFFFFF"/>
      <name val="Aptos"/>
      <family val="2"/>
    </font>
    <font>
      <sz val="11"/>
      <color theme="1"/>
      <name val="Aptos"/>
      <family val="2"/>
    </font>
    <font>
      <b/>
      <sz val="12"/>
      <color rgb="FFFFFFFF"/>
      <name val="Aptos"/>
      <family val="2"/>
    </font>
    <font>
      <b/>
      <sz val="11"/>
      <color theme="1"/>
      <name val="Aptos"/>
      <family val="2"/>
    </font>
    <font>
      <u/>
      <sz val="11"/>
      <color theme="10"/>
      <name val="Aptos"/>
      <family val="2"/>
    </font>
    <font>
      <b/>
      <sz val="20"/>
      <color rgb="FF082234"/>
      <name val="Aptos"/>
      <family val="2"/>
    </font>
    <font>
      <b/>
      <sz val="12"/>
      <color rgb="FF082234"/>
      <name val="Aptos"/>
      <family val="2"/>
    </font>
    <font>
      <sz val="11"/>
      <color rgb="FF082234"/>
      <name val="Aptos"/>
      <family val="2"/>
    </font>
    <font>
      <b/>
      <sz val="11"/>
      <color rgb="FF082234"/>
      <name val="Aptos"/>
      <family val="2"/>
    </font>
    <font>
      <u/>
      <sz val="11"/>
      <color rgb="FFFFFFFF"/>
      <name val="Aptos"/>
      <family val="2"/>
    </font>
    <font>
      <sz val="11"/>
      <color rgb="FFFFFFFF"/>
      <name val="Aptos"/>
      <family val="2"/>
    </font>
    <font>
      <sz val="11"/>
      <color rgb="FF4F6274"/>
      <name val="Aptos"/>
      <family val="2"/>
    </font>
    <font>
      <b/>
      <sz val="11"/>
      <color rgb="FFFFFFFF"/>
      <name val="Aptos"/>
      <family val="2"/>
    </font>
    <font>
      <sz val="10"/>
      <color theme="1"/>
      <name val="Aptos"/>
      <family val="2"/>
    </font>
    <font>
      <b/>
      <sz val="2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082234"/>
        <bgColor indexed="64"/>
      </patternFill>
    </fill>
    <fill>
      <patternFill patternType="solid">
        <fgColor rgb="FFF5F8F4"/>
        <bgColor indexed="64"/>
      </patternFill>
    </fill>
    <fill>
      <patternFill patternType="solid">
        <fgColor rgb="FF079238"/>
        <bgColor indexed="64"/>
      </patternFill>
    </fill>
    <fill>
      <patternFill patternType="solid">
        <fgColor rgb="FFE8F4E5"/>
        <bgColor indexed="64"/>
      </patternFill>
    </fill>
  </fills>
  <borders count="4">
    <border>
      <left/>
      <right/>
      <top/>
      <bottom/>
      <diagonal/>
    </border>
    <border>
      <left style="thin">
        <color rgb="FFD2D8DD"/>
      </left>
      <right style="thin">
        <color rgb="FFD2D8DD"/>
      </right>
      <top style="thin">
        <color rgb="FFD2D8DD"/>
      </top>
      <bottom style="thin">
        <color rgb="FFD2D8DD"/>
      </bottom>
      <diagonal/>
    </border>
    <border>
      <left style="thin">
        <color rgb="FFD2D8DD"/>
      </left>
      <right style="thin">
        <color rgb="FFD2D8DD"/>
      </right>
      <top/>
      <bottom style="thin">
        <color rgb="FFD2D8DD"/>
      </bottom>
      <diagonal/>
    </border>
    <border>
      <left style="thin">
        <color rgb="FFD2D8DD"/>
      </left>
      <right style="thin">
        <color rgb="FFD2D8DD"/>
      </right>
      <top style="thin">
        <color rgb="FFD2D8DD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3" fillId="0" borderId="0" xfId="0" applyFont="1"/>
    <xf numFmtId="0" fontId="7" fillId="2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1" fillId="2" borderId="0" xfId="1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/>
    <xf numFmtId="0" fontId="4" fillId="4" borderId="1" xfId="0" applyFont="1" applyFill="1" applyBorder="1"/>
    <xf numFmtId="0" fontId="3" fillId="0" borderId="1" xfId="0" applyFont="1" applyBorder="1"/>
    <xf numFmtId="0" fontId="5" fillId="5" borderId="1" xfId="0" applyFont="1" applyFill="1" applyBorder="1"/>
    <xf numFmtId="0" fontId="4" fillId="4" borderId="1" xfId="0" applyFont="1" applyFill="1" applyBorder="1"/>
    <xf numFmtId="0" fontId="5" fillId="5" borderId="2" xfId="0" applyFont="1" applyFill="1" applyBorder="1"/>
    <xf numFmtId="0" fontId="14" fillId="2" borderId="0" xfId="0" applyFont="1" applyFill="1" applyAlignment="1">
      <alignment horizontal="center" vertical="center" wrapText="1"/>
    </xf>
    <xf numFmtId="0" fontId="15" fillId="0" borderId="1" xfId="0" applyFont="1" applyFill="1" applyBorder="1" applyAlignment="1" applyProtection="1">
      <alignment vertical="center"/>
      <protection locked="0"/>
    </xf>
    <xf numFmtId="164" fontId="15" fillId="0" borderId="1" xfId="0" applyNumberFormat="1" applyFont="1" applyFill="1" applyBorder="1" applyAlignment="1" applyProtection="1">
      <alignment vertical="center"/>
      <protection locked="0"/>
    </xf>
    <xf numFmtId="20" fontId="15" fillId="0" borderId="1" xfId="0" applyNumberFormat="1" applyFont="1" applyFill="1" applyBorder="1" applyAlignment="1" applyProtection="1">
      <alignment vertical="center"/>
      <protection locked="0"/>
    </xf>
    <xf numFmtId="165" fontId="15" fillId="0" borderId="1" xfId="0" applyNumberFormat="1" applyFont="1" applyFill="1" applyBorder="1" applyAlignment="1" applyProtection="1">
      <alignment vertical="center"/>
      <protection locked="0"/>
    </xf>
    <xf numFmtId="0" fontId="15" fillId="0" borderId="3" xfId="0" applyFont="1" applyFill="1" applyBorder="1" applyAlignment="1" applyProtection="1">
      <alignment vertical="center"/>
      <protection locked="0"/>
    </xf>
    <xf numFmtId="164" fontId="15" fillId="0" borderId="3" xfId="0" applyNumberFormat="1" applyFont="1" applyFill="1" applyBorder="1" applyAlignment="1" applyProtection="1">
      <alignment vertical="center"/>
      <protection locked="0"/>
    </xf>
    <xf numFmtId="20" fontId="15" fillId="0" borderId="3" xfId="0" applyNumberFormat="1" applyFont="1" applyFill="1" applyBorder="1" applyAlignment="1" applyProtection="1">
      <alignment vertical="center"/>
      <protection locked="0"/>
    </xf>
    <xf numFmtId="165" fontId="15" fillId="0" borderId="3" xfId="0" applyNumberFormat="1" applyFont="1" applyFill="1" applyBorder="1" applyAlignment="1" applyProtection="1">
      <alignment vertical="center"/>
      <protection locked="0"/>
    </xf>
    <xf numFmtId="0" fontId="15" fillId="0" borderId="1" xfId="0" applyFont="1" applyFill="1" applyBorder="1" applyAlignment="1" applyProtection="1">
      <alignment vertical="center" wrapText="1"/>
      <protection locked="0"/>
    </xf>
    <xf numFmtId="0" fontId="15" fillId="0" borderId="3" xfId="0" applyFont="1" applyFill="1" applyBorder="1" applyAlignment="1" applyProtection="1">
      <alignment vertical="center" wrapText="1"/>
      <protection locked="0"/>
    </xf>
    <xf numFmtId="1" fontId="15" fillId="0" borderId="1" xfId="0" applyNumberFormat="1" applyFont="1" applyFill="1" applyBorder="1" applyAlignment="1" applyProtection="1">
      <alignment vertical="center"/>
    </xf>
    <xf numFmtId="0" fontId="15" fillId="0" borderId="1" xfId="0" applyFont="1" applyFill="1" applyBorder="1" applyAlignment="1" applyProtection="1">
      <alignment vertical="center"/>
    </xf>
    <xf numFmtId="1" fontId="15" fillId="0" borderId="3" xfId="0" applyNumberFormat="1" applyFont="1" applyFill="1" applyBorder="1" applyAlignment="1" applyProtection="1">
      <alignment vertical="center"/>
    </xf>
    <xf numFmtId="0" fontId="15" fillId="0" borderId="3" xfId="0" applyFont="1" applyFill="1" applyBorder="1" applyAlignment="1" applyProtection="1">
      <alignment vertical="center"/>
    </xf>
    <xf numFmtId="0" fontId="3" fillId="3" borderId="1" xfId="0" applyFont="1" applyFill="1" applyBorder="1"/>
    <xf numFmtId="0" fontId="3" fillId="0" borderId="1" xfId="0" applyFont="1" applyFill="1" applyBorder="1"/>
    <xf numFmtId="1" fontId="3" fillId="0" borderId="1" xfId="0" applyNumberFormat="1" applyFont="1" applyBorder="1"/>
    <xf numFmtId="166" fontId="3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9" fontId="0" fillId="0" borderId="0" xfId="0" applyNumberFormat="1"/>
    <xf numFmtId="0" fontId="14" fillId="4" borderId="1" xfId="0" applyFont="1" applyFill="1" applyBorder="1" applyAlignment="1">
      <alignment horizontal="center"/>
    </xf>
    <xf numFmtId="1" fontId="16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7" fontId="16" fillId="3" borderId="1" xfId="0" applyNumberFormat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25" formatCode="hh:mm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25" formatCode="hh:mm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25" formatCode="hh:mm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5" formatCode="#,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25" formatCode="hh:mm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dd/mm/\y\y\y\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2D8DD"/>
        </left>
        <right style="thin">
          <color rgb="FFD2D8DD"/>
        </right>
        <top style="thin">
          <color rgb="FFD2D8DD"/>
        </top>
        <bottom style="thin">
          <color rgb="FFD2D8DD"/>
        </bottom>
      </border>
      <protection locked="0" hidden="0"/>
    </dxf>
    <dxf>
      <fill>
        <patternFill>
          <bgColor rgb="FFFFEBD9"/>
        </patternFill>
      </fill>
    </dxf>
    <dxf>
      <fill>
        <patternFill>
          <bgColor rgb="FFFFEBD9"/>
        </patternFill>
      </fill>
    </dxf>
    <dxf>
      <fill>
        <patternFill>
          <bgColor rgb="FFE2F1DE"/>
        </patternFill>
      </fill>
    </dxf>
    <dxf>
      <fill>
        <patternFill>
          <bgColor rgb="FFE7E7E7"/>
        </patternFill>
      </fill>
    </dxf>
    <dxf>
      <fill>
        <patternFill>
          <bgColor rgb="FFFFCC9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family val="2"/>
        <scheme val="none"/>
      </font>
      <fill>
        <patternFill patternType="solid">
          <fgColor indexed="64"/>
          <bgColor rgb="FF08223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D2D8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E8F4E5"/>
        </patternFill>
      </fill>
      <border diagonalUp="0" diagonalDown="0" outline="0">
        <left style="thin">
          <color rgb="FFD2D8DD"/>
        </left>
        <right style="thin">
          <color rgb="FFD2D8DD"/>
        </right>
        <top/>
        <bottom/>
      </border>
    </dxf>
    <dxf>
      <border outline="0">
        <bottom style="thin">
          <color rgb="FFD2D8DD"/>
        </bottom>
      </border>
    </dxf>
    <dxf>
      <border outline="0">
        <top style="thin">
          <color rgb="FFD2D8DD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E8F4E5"/>
        </patternFill>
      </fill>
      <border diagonalUp="0" diagonalDown="0" outline="0">
        <left style="thin">
          <color rgb="FFD2D8DD"/>
        </left>
        <right style="thin">
          <color rgb="FFD2D8DD"/>
        </right>
        <top/>
        <bottom/>
      </border>
    </dxf>
    <dxf>
      <border outline="0">
        <bottom style="thin">
          <color rgb="FFD2D8DD"/>
        </bottom>
      </border>
    </dxf>
    <dxf>
      <border outline="0">
        <top style="thin">
          <color rgb="FFD2D8DD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Agendamentos por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Dashboard!$Q$2</c:f>
              <c:strCache>
                <c:ptCount val="1"/>
                <c:pt idx="0">
                  <c:v>Quantidade</c:v>
                </c:pt>
              </c:strCache>
            </c:strRef>
          </c:tx>
          <c:invertIfNegative val="0"/>
          <c:val>
            <c:numRef>
              <c:f>Dashboard!$Q$3:$Q$10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Dashboard!$P$3:$P$10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0759-4215-B8D3-DA9830E56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2349024"/>
        <c:axId val="1362221424"/>
      </c:barChart>
      <c:catAx>
        <c:axId val="1432349024"/>
        <c:scaling>
          <c:orientation val="minMax"/>
        </c:scaling>
        <c:delete val="0"/>
        <c:axPos val="b"/>
        <c:majorTickMark val="out"/>
        <c:minorTickMark val="none"/>
        <c:tickLblPos val="nextTo"/>
        <c:crossAx val="1362221424"/>
        <c:crosses val="autoZero"/>
        <c:auto val="1"/>
        <c:lblAlgn val="ctr"/>
        <c:lblOffset val="100"/>
        <c:noMultiLvlLbl val="0"/>
      </c:catAx>
      <c:valAx>
        <c:axId val="1362221424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43234902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Agendamentos por doca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Dashboard!$T$2</c:f>
              <c:strCache>
                <c:ptCount val="1"/>
                <c:pt idx="0">
                  <c:v>Agendamentos</c:v>
                </c:pt>
              </c:strCache>
            </c:strRef>
          </c:tx>
          <c:invertIfNegative val="0"/>
          <c:val>
            <c:numRef>
              <c:f>Dashboard!$T$3:$T$5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Dashboard!$S$3:$S$5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D6-4F14-A3FB-BE1DA9626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2351808"/>
        <c:axId val="1362227664"/>
      </c:barChart>
      <c:catAx>
        <c:axId val="1432351808"/>
        <c:scaling>
          <c:orientation val="minMax"/>
        </c:scaling>
        <c:delete val="0"/>
        <c:axPos val="b"/>
        <c:majorTickMark val="out"/>
        <c:minorTickMark val="none"/>
        <c:tickLblPos val="nextTo"/>
        <c:crossAx val="1362227664"/>
        <c:crosses val="autoZero"/>
        <c:auto val="1"/>
        <c:lblAlgn val="ctr"/>
        <c:lblOffset val="100"/>
        <c:noMultiLvlLbl val="0"/>
      </c:catAx>
      <c:valAx>
        <c:axId val="1362227664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4323518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Agendamentos por dia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Dashboard!$W$2</c:f>
              <c:strCache>
                <c:ptCount val="1"/>
                <c:pt idx="0">
                  <c:v>Agendamentos</c:v>
                </c:pt>
              </c:strCache>
            </c:strRef>
          </c:tx>
          <c:marker>
            <c:symbol val="none"/>
          </c:marker>
          <c:val>
            <c:numRef>
              <c:f>Dashboard!$W$3:$W$9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Dashboard!$V$3:$V$9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167-4FEE-A210-A4095CB09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346704"/>
        <c:axId val="1362224304"/>
      </c:lineChart>
      <c:catAx>
        <c:axId val="1432346704"/>
        <c:scaling>
          <c:orientation val="minMax"/>
        </c:scaling>
        <c:delete val="0"/>
        <c:axPos val="b"/>
        <c:majorTickMark val="out"/>
        <c:minorTickMark val="none"/>
        <c:tickLblPos val="nextTo"/>
        <c:crossAx val="1362224304"/>
        <c:crosses val="autoZero"/>
        <c:auto val="1"/>
        <c:lblAlgn val="ctr"/>
        <c:lblOffset val="100"/>
        <c:noMultiLvlLbl val="0"/>
      </c:catAx>
      <c:valAx>
        <c:axId val="1362224304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43234670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14</xdr:row>
      <xdr:rowOff>158750</xdr:rowOff>
    </xdr:from>
    <xdr:to>
      <xdr:col>8</xdr:col>
      <xdr:colOff>266700</xdr:colOff>
      <xdr:row>31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48B442-4568-6A3E-2C7F-2928802B8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14</xdr:row>
      <xdr:rowOff>158750</xdr:rowOff>
    </xdr:from>
    <xdr:to>
      <xdr:col>16</xdr:col>
      <xdr:colOff>533400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F9B84F-263A-5939-C449-BDEF57EBC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114300</xdr:colOff>
      <xdr:row>14</xdr:row>
      <xdr:rowOff>158750</xdr:rowOff>
    </xdr:from>
    <xdr:to>
      <xdr:col>25</xdr:col>
      <xdr:colOff>190500</xdr:colOff>
      <xdr:row>31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98DB01-D591-C0CC-28C4-E3749178F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583893-1CE5-42C9-ADD1-41847C525CD5}" name="TabelaAgenda" displayName="TabelaAgenda" ref="A1:W501" totalsRowShown="0" headerRowDxfId="28" dataDxfId="29" tableBorderDxfId="30">
  <autoFilter ref="A1:W501" xr:uid="{80583893-1CE5-42C9-ADD1-41847C525CD5}"/>
  <tableColumns count="23">
    <tableColumn id="1" xr3:uid="{9176B0E9-45DF-4FD6-865B-892CADE8A29C}" name="ID" dataDxfId="22"/>
    <tableColumn id="2" xr3:uid="{B556E201-5ECE-47D2-A4AA-4885F9803740}" name="Data" dataDxfId="21"/>
    <tableColumn id="3" xr3:uid="{C071DAFF-D3AB-4D8E-A8C0-B0045942BA80}" name="Horário Previsto" dataDxfId="20"/>
    <tableColumn id="4" xr3:uid="{1CFDBABC-AE8D-4A14-998A-25829A5F5556}" name="Doca" dataDxfId="19"/>
    <tableColumn id="5" xr3:uid="{9BA8E443-A99C-46AD-B72C-C86A0AF5542B}" name="Fornecedor" dataDxfId="18"/>
    <tableColumn id="6" xr3:uid="{FB2D4739-7F9B-4F4F-BDAE-C826E2B0F187}" name="Transportadora" dataDxfId="17"/>
    <tableColumn id="7" xr3:uid="{EFAE8E66-B11C-499D-886B-B50B41F3ABFC}" name="Pedido" dataDxfId="16"/>
    <tableColumn id="8" xr3:uid="{D2C2B965-D156-4E02-8C83-F0AD2B658DD3}" name="Nota Fiscal" dataDxfId="15"/>
    <tableColumn id="9" xr3:uid="{2C2D42BF-663F-4B67-9831-1B4061231474}" name="Tipo de Carga" dataDxfId="14"/>
    <tableColumn id="10" xr3:uid="{779941DF-2A15-4F68-80E4-628E591D22E6}" name="Quantidade" dataDxfId="13"/>
    <tableColumn id="11" xr3:uid="{C7D5CDE3-EEAB-4104-A171-0894B2645886}" name="Unidade" dataDxfId="12"/>
    <tableColumn id="12" xr3:uid="{04E424F4-C661-45D6-8363-5F5364F83494}" name="Placa" dataDxfId="11"/>
    <tableColumn id="13" xr3:uid="{966A6FD4-6C63-48D8-9F61-CD0EA442DD33}" name="Motorista" dataDxfId="10"/>
    <tableColumn id="14" xr3:uid="{4907E44A-A8AA-4937-89F5-F03044346C73}" name="Telefone" dataDxfId="9"/>
    <tableColumn id="15" xr3:uid="{D176C01B-67E8-4410-90AA-7D4B6F116AFD}" name="Status" dataDxfId="8"/>
    <tableColumn id="16" xr3:uid="{8AA2BF72-8EB9-4F68-99D5-5B0A44E7674F}" name="Horário de Chegada" dataDxfId="7"/>
    <tableColumn id="17" xr3:uid="{4CAD670B-611A-4F4C-A4B2-39B3EB2A7184}" name="Início do Atendimento" dataDxfId="6"/>
    <tableColumn id="18" xr3:uid="{242B39BC-924D-4DE6-8227-A32D83DC5CF1}" name="Fim do Atendimento" dataDxfId="5"/>
    <tableColumn id="19" xr3:uid="{B2CE875D-CA9C-4070-835E-11932EA4F20B}" name="Atraso (min)" dataDxfId="4">
      <calculatedColumnFormula>IF(OR($C2="",$P2=""),"",MAX(0,ROUND(($P2-$C2)*1440,0)))</calculatedColumnFormula>
    </tableColumn>
    <tableColumn id="20" xr3:uid="{E07924A2-4214-40C3-9CC9-BE0B9F166298}" name="Tempo de Espera (min)" dataDxfId="3">
      <calculatedColumnFormula>IF(OR($P2="",$Q2=""),"",MAX(0,ROUND(($Q2-$P2)*1440,0)))</calculatedColumnFormula>
    </tableColumn>
    <tableColumn id="21" xr3:uid="{A436B629-E23A-4007-B4F2-0EC1426CC10C}" name="Tempo de Atendimento (min)" dataDxfId="2">
      <calculatedColumnFormula>IF(OR($Q2="",$R2=""),"",MAX(0,ROUND(($R2-$Q2)*1440,0)))</calculatedColumnFormula>
    </tableColumn>
    <tableColumn id="22" xr3:uid="{97438EF3-5163-4D0B-AAB3-9125F888EE6F}" name="No-show" dataDxfId="0">
      <calculatedColumnFormula>IF($A2="","",IF($O2="No-show","Sim","Não"))</calculatedColumnFormula>
    </tableColumn>
    <tableColumn id="23" xr3:uid="{07D5806E-5943-4C7F-917F-2E010BBB1061}" name="Observações" dataDxfId="1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6D41D-3B78-4ABF-9290-6849CDE87641}" name="TabelaFornecedores" displayName="TabelaFornecedores" ref="D6:I106" totalsRowShown="0" headerRowDxfId="34" headerRowBorderDxfId="35" tableBorderDxfId="36">
  <autoFilter ref="D6:I106" xr:uid="{74F6D41D-3B78-4ABF-9290-6849CDE87641}"/>
  <tableColumns count="6">
    <tableColumn id="1" xr3:uid="{02BBB24C-9625-4A88-B9EB-9F54BCC4AE28}" name="Fornecedor"/>
    <tableColumn id="2" xr3:uid="{A8621832-EA14-4D9A-AC8E-D225A568DA7E}" name="CNPJ"/>
    <tableColumn id="3" xr3:uid="{D9AB5863-ACF4-4631-A0E9-831DBB7EEC3D}" name="Contato"/>
    <tableColumn id="4" xr3:uid="{4485FD89-FD78-4318-8A51-B865B6C6AB2B}" name="Telefone"/>
    <tableColumn id="5" xr3:uid="{250758B6-B9BD-48D6-9CFC-3789C919A5FC}" name="E-mail"/>
    <tableColumn id="6" xr3:uid="{51FD2D0A-2E3E-4666-B596-63F6C4D3C04C}" name="Observaçã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52048C-50C8-4475-9C02-290FB77F5E29}" name="TabelaTransportadoras" displayName="TabelaTransportadoras" ref="K6:N106" totalsRowShown="0" headerRowDxfId="31" headerRowBorderDxfId="32" tableBorderDxfId="33">
  <autoFilter ref="K6:N106" xr:uid="{2452048C-50C8-4475-9C02-290FB77F5E29}"/>
  <tableColumns count="4">
    <tableColumn id="1" xr3:uid="{F7AD063B-7651-4990-8D1B-520BC2841845}" name="Transportadora"/>
    <tableColumn id="2" xr3:uid="{14361ACE-C014-42E5-B895-22A3E2FA8E64}" name="Contato"/>
    <tableColumn id="3" xr3:uid="{D8AF4252-B198-4D81-BB58-F64717310042}" name="Telefone"/>
    <tableColumn id="4" xr3:uid="{9F15829F-79C6-42F1-9E5B-EBF2F5475368}" name="E-mai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acerta.com.b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ocacerta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086E-6B4A-43BE-AE43-FE05EAA6AAC1}">
  <sheetPr>
    <pageSetUpPr fitToPage="1"/>
  </sheetPr>
  <dimension ref="A1:H39"/>
  <sheetViews>
    <sheetView showGridLines="0" tabSelected="1" workbookViewId="0">
      <selection sqref="A1:H2"/>
    </sheetView>
  </sheetViews>
  <sheetFormatPr defaultRowHeight="15" x14ac:dyDescent="0.25"/>
  <cols>
    <col min="1" max="1" width="6.7109375" customWidth="1"/>
    <col min="2" max="3" width="14.7109375" customWidth="1"/>
    <col min="4" max="8" width="15.7109375" customWidth="1"/>
  </cols>
  <sheetData>
    <row r="1" spans="1:8" ht="33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ht="33.950000000000003" customHeight="1" x14ac:dyDescent="0.25">
      <c r="A2" s="4"/>
      <c r="B2" s="4"/>
      <c r="C2" s="4"/>
      <c r="D2" s="4"/>
      <c r="E2" s="4"/>
      <c r="F2" s="4"/>
      <c r="G2" s="4"/>
      <c r="H2" s="4"/>
    </row>
    <row r="3" spans="1:8" ht="24" customHeight="1" x14ac:dyDescent="0.25">
      <c r="A3" s="5" t="s">
        <v>1</v>
      </c>
      <c r="B3" s="6"/>
      <c r="C3" s="6"/>
      <c r="D3" s="6"/>
      <c r="E3" s="6"/>
      <c r="F3" s="6"/>
      <c r="G3" s="6"/>
      <c r="H3" s="6"/>
    </row>
    <row r="4" spans="1:8" x14ac:dyDescent="0.25">
      <c r="A4" s="7"/>
      <c r="B4" s="7"/>
      <c r="C4" s="7"/>
      <c r="D4" s="7"/>
      <c r="E4" s="7"/>
      <c r="F4" s="7"/>
      <c r="G4" s="7"/>
      <c r="H4" s="7"/>
    </row>
    <row r="5" spans="1:8" ht="45.95" customHeight="1" x14ac:dyDescent="0.25">
      <c r="A5" s="8" t="s">
        <v>2</v>
      </c>
      <c r="B5" s="9"/>
      <c r="C5" s="9"/>
      <c r="D5" s="9"/>
      <c r="E5" s="9"/>
      <c r="F5" s="9"/>
      <c r="G5" s="9"/>
      <c r="H5" s="9"/>
    </row>
    <row r="6" spans="1:8" x14ac:dyDescent="0.25">
      <c r="A6" s="9"/>
      <c r="B6" s="9"/>
      <c r="C6" s="9"/>
      <c r="D6" s="9"/>
      <c r="E6" s="9"/>
      <c r="F6" s="9"/>
      <c r="G6" s="9"/>
      <c r="H6" s="9"/>
    </row>
    <row r="7" spans="1:8" x14ac:dyDescent="0.25">
      <c r="A7" s="10"/>
      <c r="B7" s="10"/>
      <c r="C7" s="10"/>
      <c r="D7" s="10"/>
      <c r="E7" s="10"/>
      <c r="F7" s="10"/>
      <c r="G7" s="10"/>
      <c r="H7" s="10"/>
    </row>
    <row r="8" spans="1:8" ht="24" customHeight="1" x14ac:dyDescent="0.25">
      <c r="A8" s="11" t="s">
        <v>3</v>
      </c>
      <c r="B8" s="11"/>
      <c r="C8" s="11"/>
      <c r="D8" s="11"/>
      <c r="E8" s="11"/>
      <c r="F8" s="11"/>
      <c r="G8" s="11"/>
      <c r="H8" s="11"/>
    </row>
    <row r="9" spans="1:8" x14ac:dyDescent="0.25">
      <c r="A9" s="10"/>
      <c r="B9" s="10"/>
      <c r="C9" s="10"/>
      <c r="D9" s="10"/>
      <c r="E9" s="10"/>
      <c r="F9" s="10"/>
      <c r="G9" s="10"/>
      <c r="H9" s="10"/>
    </row>
    <row r="10" spans="1:8" ht="42" customHeight="1" x14ac:dyDescent="0.25">
      <c r="A10" s="12">
        <v>1</v>
      </c>
      <c r="B10" s="13" t="s">
        <v>4</v>
      </c>
      <c r="C10" s="10"/>
      <c r="D10" s="14" t="s">
        <v>5</v>
      </c>
      <c r="E10" s="10"/>
      <c r="F10" s="10"/>
      <c r="G10" s="10"/>
      <c r="H10" s="10"/>
    </row>
    <row r="11" spans="1:8" ht="42" customHeight="1" x14ac:dyDescent="0.25">
      <c r="A11" s="12">
        <v>2</v>
      </c>
      <c r="B11" s="13" t="s">
        <v>6</v>
      </c>
      <c r="C11" s="10"/>
      <c r="D11" s="14" t="s">
        <v>7</v>
      </c>
      <c r="E11" s="10"/>
      <c r="F11" s="10"/>
      <c r="G11" s="10"/>
      <c r="H11" s="10"/>
    </row>
    <row r="12" spans="1:8" ht="42" customHeight="1" x14ac:dyDescent="0.25">
      <c r="A12" s="12">
        <v>3</v>
      </c>
      <c r="B12" s="13" t="s">
        <v>8</v>
      </c>
      <c r="C12" s="10"/>
      <c r="D12" s="14" t="s">
        <v>9</v>
      </c>
      <c r="E12" s="10"/>
      <c r="F12" s="10"/>
      <c r="G12" s="10"/>
      <c r="H12" s="10"/>
    </row>
    <row r="13" spans="1:8" ht="42" customHeight="1" x14ac:dyDescent="0.25">
      <c r="A13" s="12">
        <v>4</v>
      </c>
      <c r="B13" s="13" t="s">
        <v>10</v>
      </c>
      <c r="C13" s="10"/>
      <c r="D13" s="14" t="s">
        <v>11</v>
      </c>
      <c r="E13" s="10"/>
      <c r="F13" s="10"/>
      <c r="G13" s="10"/>
      <c r="H13" s="10"/>
    </row>
    <row r="14" spans="1:8" ht="42" customHeight="1" x14ac:dyDescent="0.25">
      <c r="A14" s="12">
        <v>5</v>
      </c>
      <c r="B14" s="13" t="s">
        <v>12</v>
      </c>
      <c r="C14" s="10"/>
      <c r="D14" s="14" t="s">
        <v>13</v>
      </c>
      <c r="E14" s="10"/>
      <c r="F14" s="10"/>
      <c r="G14" s="10"/>
      <c r="H14" s="10"/>
    </row>
    <row r="15" spans="1:8" ht="42" customHeight="1" x14ac:dyDescent="0.25">
      <c r="A15" s="12">
        <v>6</v>
      </c>
      <c r="B15" s="13" t="s">
        <v>14</v>
      </c>
      <c r="C15" s="10"/>
      <c r="D15" s="14" t="s">
        <v>15</v>
      </c>
      <c r="E15" s="10"/>
      <c r="F15" s="10"/>
      <c r="G15" s="10"/>
      <c r="H15" s="10"/>
    </row>
    <row r="16" spans="1:8" x14ac:dyDescent="0.25">
      <c r="A16" s="10"/>
      <c r="B16" s="10"/>
      <c r="C16" s="10"/>
      <c r="D16" s="10"/>
      <c r="E16" s="10"/>
      <c r="F16" s="10"/>
      <c r="G16" s="10"/>
      <c r="H16" s="10"/>
    </row>
    <row r="17" spans="1:8" x14ac:dyDescent="0.25">
      <c r="A17" s="10"/>
      <c r="B17" s="10"/>
      <c r="C17" s="10"/>
      <c r="D17" s="10"/>
      <c r="E17" s="10"/>
      <c r="F17" s="10"/>
      <c r="G17" s="10"/>
      <c r="H17" s="10"/>
    </row>
    <row r="18" spans="1:8" ht="24" customHeight="1" x14ac:dyDescent="0.25">
      <c r="A18" s="11" t="s">
        <v>16</v>
      </c>
      <c r="B18" s="11"/>
      <c r="C18" s="11"/>
      <c r="D18" s="11"/>
      <c r="E18" s="11"/>
      <c r="F18" s="11"/>
      <c r="G18" s="11"/>
      <c r="H18" s="11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x14ac:dyDescent="0.25">
      <c r="A20" s="12" t="s">
        <v>17</v>
      </c>
      <c r="B20" s="10"/>
      <c r="C20" s="10" t="s">
        <v>18</v>
      </c>
      <c r="D20" s="10"/>
      <c r="E20" s="10"/>
      <c r="F20" s="10"/>
      <c r="G20" s="10"/>
      <c r="H20" s="10"/>
    </row>
    <row r="21" spans="1:8" x14ac:dyDescent="0.25">
      <c r="A21" s="12" t="s">
        <v>19</v>
      </c>
      <c r="B21" s="10"/>
      <c r="C21" s="10" t="s">
        <v>20</v>
      </c>
      <c r="D21" s="10"/>
      <c r="E21" s="10"/>
      <c r="F21" s="10"/>
      <c r="G21" s="10"/>
      <c r="H21" s="10"/>
    </row>
    <row r="22" spans="1:8" x14ac:dyDescent="0.25">
      <c r="A22" s="12" t="s">
        <v>21</v>
      </c>
      <c r="B22" s="10"/>
      <c r="C22" s="10" t="s">
        <v>22</v>
      </c>
      <c r="D22" s="10"/>
      <c r="E22" s="10"/>
      <c r="F22" s="10"/>
      <c r="G22" s="10"/>
      <c r="H22" s="10"/>
    </row>
    <row r="23" spans="1:8" x14ac:dyDescent="0.25">
      <c r="A23" s="12" t="s">
        <v>23</v>
      </c>
      <c r="B23" s="10"/>
      <c r="C23" s="10" t="s">
        <v>24</v>
      </c>
      <c r="D23" s="10"/>
      <c r="E23" s="10"/>
      <c r="F23" s="10"/>
      <c r="G23" s="10"/>
      <c r="H23" s="10"/>
    </row>
    <row r="24" spans="1:8" x14ac:dyDescent="0.25">
      <c r="A24" s="12" t="s">
        <v>25</v>
      </c>
      <c r="B24" s="10"/>
      <c r="C24" s="10" t="s">
        <v>26</v>
      </c>
      <c r="D24" s="10"/>
      <c r="E24" s="10"/>
      <c r="F24" s="10"/>
      <c r="G24" s="10"/>
      <c r="H24" s="10"/>
    </row>
    <row r="25" spans="1:8" x14ac:dyDescent="0.25">
      <c r="A25" s="12" t="s">
        <v>27</v>
      </c>
      <c r="B25" s="10"/>
      <c r="C25" s="10" t="s">
        <v>28</v>
      </c>
      <c r="D25" s="10"/>
      <c r="E25" s="10"/>
      <c r="F25" s="10"/>
      <c r="G25" s="10"/>
      <c r="H25" s="10"/>
    </row>
    <row r="26" spans="1:8" x14ac:dyDescent="0.25">
      <c r="A26" s="12" t="s">
        <v>29</v>
      </c>
      <c r="B26" s="10"/>
      <c r="C26" s="10" t="s">
        <v>30</v>
      </c>
      <c r="D26" s="10"/>
      <c r="E26" s="10"/>
      <c r="F26" s="10"/>
      <c r="G26" s="10"/>
      <c r="H26" s="10"/>
    </row>
    <row r="27" spans="1:8" x14ac:dyDescent="0.25">
      <c r="A27" s="12" t="s">
        <v>31</v>
      </c>
      <c r="B27" s="10"/>
      <c r="C27" s="10" t="s">
        <v>32</v>
      </c>
      <c r="D27" s="10"/>
      <c r="E27" s="10"/>
      <c r="F27" s="10"/>
      <c r="G27" s="10"/>
      <c r="H27" s="10"/>
    </row>
    <row r="28" spans="1:8" x14ac:dyDescent="0.25">
      <c r="A28" s="10"/>
      <c r="B28" s="10"/>
      <c r="C28" s="10"/>
      <c r="D28" s="10"/>
      <c r="E28" s="10"/>
      <c r="F28" s="10"/>
      <c r="G28" s="10"/>
      <c r="H28" s="10"/>
    </row>
    <row r="29" spans="1:8" x14ac:dyDescent="0.25">
      <c r="A29" s="10"/>
      <c r="B29" s="10"/>
      <c r="C29" s="10"/>
      <c r="D29" s="10"/>
      <c r="E29" s="10"/>
      <c r="F29" s="10"/>
      <c r="G29" s="10"/>
      <c r="H29" s="10"/>
    </row>
    <row r="30" spans="1:8" ht="24" customHeight="1" x14ac:dyDescent="0.25">
      <c r="A30" s="11" t="s">
        <v>33</v>
      </c>
      <c r="B30" s="11"/>
      <c r="C30" s="11"/>
      <c r="D30" s="11"/>
      <c r="E30" s="11"/>
      <c r="F30" s="11"/>
      <c r="G30" s="11"/>
      <c r="H30" s="11"/>
    </row>
    <row r="31" spans="1:8" x14ac:dyDescent="0.25">
      <c r="A31" s="10"/>
      <c r="B31" s="10"/>
      <c r="C31" s="10"/>
      <c r="D31" s="10"/>
      <c r="E31" s="10"/>
      <c r="F31" s="10"/>
      <c r="G31" s="10"/>
      <c r="H31" s="10"/>
    </row>
    <row r="32" spans="1:8" ht="69.95" customHeight="1" x14ac:dyDescent="0.25">
      <c r="A32" s="8" t="s">
        <v>34</v>
      </c>
      <c r="B32" s="9"/>
      <c r="C32" s="9"/>
      <c r="D32" s="9"/>
      <c r="E32" s="9"/>
      <c r="F32" s="9"/>
      <c r="G32" s="9"/>
      <c r="H32" s="9"/>
    </row>
    <row r="33" spans="1:8" x14ac:dyDescent="0.25">
      <c r="A33" s="9"/>
      <c r="B33" s="9"/>
      <c r="C33" s="9"/>
      <c r="D33" s="9"/>
      <c r="E33" s="9"/>
      <c r="F33" s="9"/>
      <c r="G33" s="9"/>
      <c r="H33" s="9"/>
    </row>
    <row r="34" spans="1:8" x14ac:dyDescent="0.25">
      <c r="A34" s="9"/>
      <c r="B34" s="9"/>
      <c r="C34" s="9"/>
      <c r="D34" s="9"/>
      <c r="E34" s="9"/>
      <c r="F34" s="9"/>
      <c r="G34" s="9"/>
      <c r="H34" s="9"/>
    </row>
    <row r="35" spans="1:8" x14ac:dyDescent="0.25">
      <c r="A35" s="9"/>
      <c r="B35" s="9"/>
      <c r="C35" s="9"/>
      <c r="D35" s="9"/>
      <c r="E35" s="9"/>
      <c r="F35" s="9"/>
      <c r="G35" s="9"/>
      <c r="H35" s="9"/>
    </row>
    <row r="36" spans="1:8" x14ac:dyDescent="0.25">
      <c r="A36" s="10"/>
      <c r="B36" s="10"/>
      <c r="C36" s="10"/>
      <c r="D36" s="10"/>
      <c r="E36" s="10"/>
      <c r="F36" s="10"/>
      <c r="G36" s="10"/>
      <c r="H36" s="10"/>
    </row>
    <row r="37" spans="1:8" ht="62.1" customHeight="1" x14ac:dyDescent="0.25">
      <c r="A37" s="15" t="s">
        <v>35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6"/>
      <c r="B38" s="16"/>
      <c r="C38" s="16"/>
      <c r="D38" s="16"/>
      <c r="E38" s="16"/>
      <c r="F38" s="16"/>
      <c r="G38" s="16"/>
      <c r="H38" s="16"/>
    </row>
    <row r="39" spans="1:8" x14ac:dyDescent="0.25">
      <c r="A39" s="16"/>
      <c r="B39" s="16"/>
      <c r="C39" s="16"/>
      <c r="D39" s="16"/>
      <c r="E39" s="16"/>
      <c r="F39" s="16"/>
      <c r="G39" s="16"/>
      <c r="H39" s="16"/>
    </row>
  </sheetData>
  <mergeCells count="8">
    <mergeCell ref="A32:H35"/>
    <mergeCell ref="A37:H39"/>
    <mergeCell ref="A1:H2"/>
    <mergeCell ref="A3:H3"/>
    <mergeCell ref="A5:H6"/>
    <mergeCell ref="A8:H8"/>
    <mergeCell ref="A18:H18"/>
    <mergeCell ref="A30:H30"/>
  </mergeCells>
  <hyperlinks>
    <hyperlink ref="A37" r:id="rId1" tooltip="Conheça o Doca Certa" xr:uid="{6424A905-DDFC-4AFB-98A7-914E682C88F8}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5B67-D5C5-4E37-99BC-DE3EAA783016}">
  <sheetPr>
    <pageSetUpPr fitToPage="1"/>
  </sheetPr>
  <dimension ref="A1:W501"/>
  <sheetViews>
    <sheetView showGridLines="0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6.7109375" customWidth="1"/>
    <col min="2" max="2" width="12.7109375" customWidth="1"/>
    <col min="3" max="3" width="19.140625" customWidth="1"/>
    <col min="4" max="4" width="12.7109375" customWidth="1"/>
    <col min="5" max="6" width="24.7109375" customWidth="1"/>
    <col min="7" max="8" width="15.7109375" customWidth="1"/>
    <col min="9" max="9" width="16.7109375" customWidth="1"/>
    <col min="10" max="10" width="14.570312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5" width="18.7109375" customWidth="1"/>
    <col min="16" max="16" width="22.7109375" customWidth="1"/>
    <col min="17" max="17" width="24.5703125" customWidth="1"/>
    <col min="18" max="18" width="22.7109375" customWidth="1"/>
    <col min="19" max="19" width="14.85546875" customWidth="1"/>
    <col min="20" max="20" width="25.28515625" customWidth="1"/>
    <col min="21" max="21" width="31" customWidth="1"/>
    <col min="22" max="22" width="12.7109375" customWidth="1"/>
    <col min="23" max="23" width="34.7109375" customWidth="1"/>
  </cols>
  <sheetData>
    <row r="1" spans="1:23" ht="39.950000000000003" customHeight="1" x14ac:dyDescent="0.25">
      <c r="A1" s="23" t="s">
        <v>94</v>
      </c>
      <c r="B1" s="23" t="s">
        <v>95</v>
      </c>
      <c r="C1" s="23" t="s">
        <v>96</v>
      </c>
      <c r="D1" s="23" t="s">
        <v>97</v>
      </c>
      <c r="E1" s="23" t="s">
        <v>43</v>
      </c>
      <c r="F1" s="23" t="s">
        <v>66</v>
      </c>
      <c r="G1" s="23" t="s">
        <v>98</v>
      </c>
      <c r="H1" s="23" t="s">
        <v>99</v>
      </c>
      <c r="I1" s="23" t="s">
        <v>100</v>
      </c>
      <c r="J1" s="23" t="s">
        <v>101</v>
      </c>
      <c r="K1" s="23" t="s">
        <v>102</v>
      </c>
      <c r="L1" s="23" t="s">
        <v>103</v>
      </c>
      <c r="M1" s="23" t="s">
        <v>104</v>
      </c>
      <c r="N1" s="23" t="s">
        <v>46</v>
      </c>
      <c r="O1" s="23" t="s">
        <v>105</v>
      </c>
      <c r="P1" s="23" t="s">
        <v>106</v>
      </c>
      <c r="Q1" s="23" t="s">
        <v>107</v>
      </c>
      <c r="R1" s="23" t="s">
        <v>108</v>
      </c>
      <c r="S1" s="23" t="s">
        <v>109</v>
      </c>
      <c r="T1" s="23" t="s">
        <v>110</v>
      </c>
      <c r="U1" s="23" t="s">
        <v>111</v>
      </c>
      <c r="V1" s="23" t="s">
        <v>31</v>
      </c>
      <c r="W1" s="23" t="s">
        <v>112</v>
      </c>
    </row>
    <row r="2" spans="1:23" ht="54" x14ac:dyDescent="0.25">
      <c r="A2" s="24" t="s">
        <v>113</v>
      </c>
      <c r="B2" s="25" t="s">
        <v>114</v>
      </c>
      <c r="C2" s="26">
        <v>0.33333333333333331</v>
      </c>
      <c r="D2" s="24" t="s">
        <v>39</v>
      </c>
      <c r="E2" s="24" t="s">
        <v>49</v>
      </c>
      <c r="F2" s="24" t="s">
        <v>67</v>
      </c>
      <c r="G2" s="24" t="s">
        <v>115</v>
      </c>
      <c r="H2" s="24" t="s">
        <v>116</v>
      </c>
      <c r="I2" s="24" t="s">
        <v>80</v>
      </c>
      <c r="J2" s="27">
        <v>18</v>
      </c>
      <c r="K2" s="24" t="s">
        <v>87</v>
      </c>
      <c r="L2" s="24" t="s">
        <v>117</v>
      </c>
      <c r="M2" s="24" t="s">
        <v>118</v>
      </c>
      <c r="N2" s="24" t="s">
        <v>119</v>
      </c>
      <c r="O2" s="24" t="s">
        <v>25</v>
      </c>
      <c r="P2" s="26">
        <v>0.34375</v>
      </c>
      <c r="Q2" s="26">
        <v>0.35416666666666669</v>
      </c>
      <c r="R2" s="26">
        <v>0.39583333333333331</v>
      </c>
      <c r="S2" s="34">
        <f>IF(OR($C2="",$P2=""),"",MAX(0,ROUND(($P2-$C2)*1440,0)))</f>
        <v>15</v>
      </c>
      <c r="T2" s="34">
        <f>IF(OR($P2="",$Q2=""),"",MAX(0,ROUND(($Q2-$P2)*1440,0)))</f>
        <v>15</v>
      </c>
      <c r="U2" s="34">
        <f>IF(OR($Q2="",$R2=""),"",MAX(0,ROUND(($R2-$Q2)*1440,0)))</f>
        <v>60</v>
      </c>
      <c r="V2" s="35" t="str">
        <f>IF($A2="","",IF($O2="No-show","Sim","Não"))</f>
        <v>Não</v>
      </c>
      <c r="W2" s="32" t="s">
        <v>120</v>
      </c>
    </row>
    <row r="3" spans="1:23" ht="40.5" x14ac:dyDescent="0.25">
      <c r="A3" s="24" t="s">
        <v>121</v>
      </c>
      <c r="B3" s="25" t="s">
        <v>114</v>
      </c>
      <c r="C3" s="26">
        <v>0.375</v>
      </c>
      <c r="D3" s="24" t="s">
        <v>40</v>
      </c>
      <c r="E3" s="24" t="s">
        <v>55</v>
      </c>
      <c r="F3" s="24" t="s">
        <v>71</v>
      </c>
      <c r="G3" s="24" t="s">
        <v>122</v>
      </c>
      <c r="H3" s="24" t="s">
        <v>123</v>
      </c>
      <c r="I3" s="24" t="s">
        <v>81</v>
      </c>
      <c r="J3" s="27">
        <v>240</v>
      </c>
      <c r="K3" s="24" t="s">
        <v>88</v>
      </c>
      <c r="L3" s="24" t="s">
        <v>124</v>
      </c>
      <c r="M3" s="24" t="s">
        <v>125</v>
      </c>
      <c r="N3" s="24" t="s">
        <v>126</v>
      </c>
      <c r="O3" s="24" t="s">
        <v>25</v>
      </c>
      <c r="P3" s="26">
        <v>0.37152777777777779</v>
      </c>
      <c r="Q3" s="26">
        <v>0.37777777777777777</v>
      </c>
      <c r="R3" s="26">
        <v>0.42708333333333331</v>
      </c>
      <c r="S3" s="34">
        <f>IF(OR($C3="",$P3=""),"",MAX(0,ROUND(($P3-$C3)*1440,0)))</f>
        <v>0</v>
      </c>
      <c r="T3" s="34">
        <f>IF(OR($P3="",$Q3=""),"",MAX(0,ROUND(($Q3-$P3)*1440,0)))</f>
        <v>9</v>
      </c>
      <c r="U3" s="34">
        <f>IF(OR($Q3="",$R3=""),"",MAX(0,ROUND(($R3-$Q3)*1440,0)))</f>
        <v>71</v>
      </c>
      <c r="V3" s="35" t="str">
        <f>IF($A3="","",IF($O3="No-show","Sim","Não"))</f>
        <v>Não</v>
      </c>
      <c r="W3" s="32" t="s">
        <v>127</v>
      </c>
    </row>
    <row r="4" spans="1:23" ht="54" x14ac:dyDescent="0.25">
      <c r="A4" s="24" t="s">
        <v>128</v>
      </c>
      <c r="B4" s="25" t="s">
        <v>114</v>
      </c>
      <c r="C4" s="26">
        <v>0.41666666666666669</v>
      </c>
      <c r="D4" s="24" t="s">
        <v>39</v>
      </c>
      <c r="E4" s="24" t="s">
        <v>60</v>
      </c>
      <c r="F4" s="24" t="s">
        <v>75</v>
      </c>
      <c r="G4" s="24" t="s">
        <v>129</v>
      </c>
      <c r="H4" s="24" t="s">
        <v>130</v>
      </c>
      <c r="I4" s="24" t="s">
        <v>82</v>
      </c>
      <c r="J4" s="27">
        <v>12</v>
      </c>
      <c r="K4" s="24" t="s">
        <v>91</v>
      </c>
      <c r="L4" s="24" t="s">
        <v>131</v>
      </c>
      <c r="M4" s="24" t="s">
        <v>132</v>
      </c>
      <c r="N4" s="24" t="s">
        <v>133</v>
      </c>
      <c r="O4" s="24" t="s">
        <v>31</v>
      </c>
      <c r="P4" s="26"/>
      <c r="Q4" s="26"/>
      <c r="R4" s="26"/>
      <c r="S4" s="34" t="str">
        <f>IF(OR($C4="",$P4=""),"",MAX(0,ROUND(($P4-$C4)*1440,0)))</f>
        <v/>
      </c>
      <c r="T4" s="34" t="str">
        <f>IF(OR($P4="",$Q4=""),"",MAX(0,ROUND(($Q4-$P4)*1440,0)))</f>
        <v/>
      </c>
      <c r="U4" s="34" t="str">
        <f>IF(OR($Q4="",$R4=""),"",MAX(0,ROUND(($R4-$Q4)*1440,0)))</f>
        <v/>
      </c>
      <c r="V4" s="35" t="str">
        <f>IF($A4="","",IF($O4="No-show","Sim","Não"))</f>
        <v>Sim</v>
      </c>
      <c r="W4" s="32" t="s">
        <v>134</v>
      </c>
    </row>
    <row r="5" spans="1:23" ht="54" x14ac:dyDescent="0.25">
      <c r="A5" s="24" t="s">
        <v>135</v>
      </c>
      <c r="B5" s="25" t="s">
        <v>136</v>
      </c>
      <c r="C5" s="26">
        <v>0.33333333333333331</v>
      </c>
      <c r="D5" s="24" t="s">
        <v>41</v>
      </c>
      <c r="E5" s="24" t="s">
        <v>49</v>
      </c>
      <c r="F5" s="24" t="s">
        <v>71</v>
      </c>
      <c r="G5" s="24" t="s">
        <v>137</v>
      </c>
      <c r="H5" s="24" t="s">
        <v>138</v>
      </c>
      <c r="I5" s="24" t="s">
        <v>84</v>
      </c>
      <c r="J5" s="27">
        <v>32</v>
      </c>
      <c r="K5" s="24" t="s">
        <v>89</v>
      </c>
      <c r="L5" s="24" t="s">
        <v>139</v>
      </c>
      <c r="M5" s="24" t="s">
        <v>140</v>
      </c>
      <c r="N5" s="24" t="s">
        <v>141</v>
      </c>
      <c r="O5" s="24" t="s">
        <v>29</v>
      </c>
      <c r="P5" s="26"/>
      <c r="Q5" s="26"/>
      <c r="R5" s="26"/>
      <c r="S5" s="34" t="str">
        <f>IF(OR($C5="",$P5=""),"",MAX(0,ROUND(($P5-$C5)*1440,0)))</f>
        <v/>
      </c>
      <c r="T5" s="34" t="str">
        <f>IF(OR($P5="",$Q5=""),"",MAX(0,ROUND(($Q5-$P5)*1440,0)))</f>
        <v/>
      </c>
      <c r="U5" s="34" t="str">
        <f>IF(OR($Q5="",$R5=""),"",MAX(0,ROUND(($R5-$Q5)*1440,0)))</f>
        <v/>
      </c>
      <c r="V5" s="35" t="str">
        <f>IF($A5="","",IF($O5="No-show","Sim","Não"))</f>
        <v>Não</v>
      </c>
      <c r="W5" s="32" t="s">
        <v>142</v>
      </c>
    </row>
    <row r="6" spans="1:23" ht="40.5" x14ac:dyDescent="0.25">
      <c r="A6" s="24" t="s">
        <v>143</v>
      </c>
      <c r="B6" s="25" t="s">
        <v>136</v>
      </c>
      <c r="C6" s="26">
        <v>0.39583333333333331</v>
      </c>
      <c r="D6" s="24" t="s">
        <v>40</v>
      </c>
      <c r="E6" s="24" t="s">
        <v>55</v>
      </c>
      <c r="F6" s="24" t="s">
        <v>67</v>
      </c>
      <c r="G6" s="24" t="s">
        <v>144</v>
      </c>
      <c r="H6" s="24" t="s">
        <v>145</v>
      </c>
      <c r="I6" s="24" t="s">
        <v>80</v>
      </c>
      <c r="J6" s="27">
        <v>24</v>
      </c>
      <c r="K6" s="24" t="s">
        <v>87</v>
      </c>
      <c r="L6" s="24" t="s">
        <v>146</v>
      </c>
      <c r="M6" s="24" t="s">
        <v>147</v>
      </c>
      <c r="N6" s="24" t="s">
        <v>148</v>
      </c>
      <c r="O6" s="24" t="s">
        <v>23</v>
      </c>
      <c r="P6" s="26">
        <v>0.41666666666666669</v>
      </c>
      <c r="Q6" s="26">
        <v>0.42708333333333331</v>
      </c>
      <c r="R6" s="26"/>
      <c r="S6" s="34">
        <f>IF(OR($C6="",$P6=""),"",MAX(0,ROUND(($P6-$C6)*1440,0)))</f>
        <v>30</v>
      </c>
      <c r="T6" s="34">
        <f>IF(OR($P6="",$Q6=""),"",MAX(0,ROUND(($Q6-$P6)*1440,0)))</f>
        <v>15</v>
      </c>
      <c r="U6" s="34" t="str">
        <f>IF(OR($Q6="",$R6=""),"",MAX(0,ROUND(($R6-$Q6)*1440,0)))</f>
        <v/>
      </c>
      <c r="V6" s="35" t="str">
        <f>IF($A6="","",IF($O6="No-show","Sim","Não"))</f>
        <v>Não</v>
      </c>
      <c r="W6" s="32" t="s">
        <v>149</v>
      </c>
    </row>
    <row r="7" spans="1:23" ht="40.5" x14ac:dyDescent="0.25">
      <c r="A7" s="24" t="s">
        <v>150</v>
      </c>
      <c r="B7" s="25" t="s">
        <v>136</v>
      </c>
      <c r="C7" s="26">
        <v>0.45833333333333331</v>
      </c>
      <c r="D7" s="24" t="s">
        <v>39</v>
      </c>
      <c r="E7" s="24" t="s">
        <v>60</v>
      </c>
      <c r="F7" s="24" t="s">
        <v>75</v>
      </c>
      <c r="G7" s="24" t="s">
        <v>151</v>
      </c>
      <c r="H7" s="24" t="s">
        <v>152</v>
      </c>
      <c r="I7" s="24" t="s">
        <v>83</v>
      </c>
      <c r="J7" s="27">
        <v>1</v>
      </c>
      <c r="K7" s="24" t="s">
        <v>89</v>
      </c>
      <c r="L7" s="24" t="s">
        <v>153</v>
      </c>
      <c r="M7" s="24" t="s">
        <v>154</v>
      </c>
      <c r="N7" s="24" t="s">
        <v>155</v>
      </c>
      <c r="O7" s="24" t="s">
        <v>27</v>
      </c>
      <c r="P7" s="26"/>
      <c r="Q7" s="26"/>
      <c r="R7" s="26"/>
      <c r="S7" s="34" t="str">
        <f>IF(OR($C7="",$P7=""),"",MAX(0,ROUND(($P7-$C7)*1440,0)))</f>
        <v/>
      </c>
      <c r="T7" s="34" t="str">
        <f>IF(OR($P7="",$Q7=""),"",MAX(0,ROUND(($Q7-$P7)*1440,0)))</f>
        <v/>
      </c>
      <c r="U7" s="34" t="str">
        <f>IF(OR($Q7="",$R7=""),"",MAX(0,ROUND(($R7-$Q7)*1440,0)))</f>
        <v/>
      </c>
      <c r="V7" s="35" t="str">
        <f>IF($A7="","",IF($O7="No-show","Sim","Não"))</f>
        <v>Não</v>
      </c>
      <c r="W7" s="32" t="s">
        <v>156</v>
      </c>
    </row>
    <row r="8" spans="1:23" ht="54" x14ac:dyDescent="0.25">
      <c r="A8" s="24" t="s">
        <v>157</v>
      </c>
      <c r="B8" s="25" t="s">
        <v>158</v>
      </c>
      <c r="C8" s="26">
        <v>0.35416666666666669</v>
      </c>
      <c r="D8" s="24" t="s">
        <v>41</v>
      </c>
      <c r="E8" s="24" t="s">
        <v>49</v>
      </c>
      <c r="F8" s="24" t="s">
        <v>67</v>
      </c>
      <c r="G8" s="24" t="s">
        <v>159</v>
      </c>
      <c r="H8" s="24" t="s">
        <v>160</v>
      </c>
      <c r="I8" s="24" t="s">
        <v>81</v>
      </c>
      <c r="J8" s="27">
        <v>180</v>
      </c>
      <c r="K8" s="24" t="s">
        <v>88</v>
      </c>
      <c r="L8" s="24" t="s">
        <v>161</v>
      </c>
      <c r="M8" s="24" t="s">
        <v>162</v>
      </c>
      <c r="N8" s="24" t="s">
        <v>163</v>
      </c>
      <c r="O8" s="24" t="s">
        <v>19</v>
      </c>
      <c r="P8" s="26"/>
      <c r="Q8" s="26"/>
      <c r="R8" s="26"/>
      <c r="S8" s="34" t="str">
        <f>IF(OR($C8="",$P8=""),"",MAX(0,ROUND(($P8-$C8)*1440,0)))</f>
        <v/>
      </c>
      <c r="T8" s="34" t="str">
        <f>IF(OR($P8="",$Q8=""),"",MAX(0,ROUND(($Q8-$P8)*1440,0)))</f>
        <v/>
      </c>
      <c r="U8" s="34" t="str">
        <f>IF(OR($Q8="",$R8=""),"",MAX(0,ROUND(($R8-$Q8)*1440,0)))</f>
        <v/>
      </c>
      <c r="V8" s="35" t="str">
        <f>IF($A8="","",IF($O8="No-show","Sim","Não"))</f>
        <v>Não</v>
      </c>
      <c r="W8" s="32" t="s">
        <v>164</v>
      </c>
    </row>
    <row r="9" spans="1:23" ht="54" x14ac:dyDescent="0.25">
      <c r="A9" s="24" t="s">
        <v>165</v>
      </c>
      <c r="B9" s="25" t="s">
        <v>158</v>
      </c>
      <c r="C9" s="26">
        <v>0.41666666666666669</v>
      </c>
      <c r="D9" s="24" t="s">
        <v>40</v>
      </c>
      <c r="E9" s="24" t="s">
        <v>55</v>
      </c>
      <c r="F9" s="24" t="s">
        <v>71</v>
      </c>
      <c r="G9" s="24" t="s">
        <v>166</v>
      </c>
      <c r="H9" s="24" t="s">
        <v>167</v>
      </c>
      <c r="I9" s="24" t="s">
        <v>80</v>
      </c>
      <c r="J9" s="27">
        <v>20</v>
      </c>
      <c r="K9" s="24" t="s">
        <v>87</v>
      </c>
      <c r="L9" s="24" t="s">
        <v>168</v>
      </c>
      <c r="M9" s="24" t="s">
        <v>169</v>
      </c>
      <c r="N9" s="24" t="s">
        <v>170</v>
      </c>
      <c r="O9" s="24" t="s">
        <v>17</v>
      </c>
      <c r="P9" s="26"/>
      <c r="Q9" s="26"/>
      <c r="R9" s="26"/>
      <c r="S9" s="34" t="str">
        <f>IF(OR($C9="",$P9=""),"",MAX(0,ROUND(($P9-$C9)*1440,0)))</f>
        <v/>
      </c>
      <c r="T9" s="34" t="str">
        <f>IF(OR($P9="",$Q9=""),"",MAX(0,ROUND(($Q9-$P9)*1440,0)))</f>
        <v/>
      </c>
      <c r="U9" s="34" t="str">
        <f>IF(OR($Q9="",$R9=""),"",MAX(0,ROUND(($R9-$Q9)*1440,0)))</f>
        <v/>
      </c>
      <c r="V9" s="35" t="str">
        <f>IF($A9="","",IF($O9="No-show","Sim","Não"))</f>
        <v>Não</v>
      </c>
      <c r="W9" s="32" t="s">
        <v>171</v>
      </c>
    </row>
    <row r="10" spans="1:23" x14ac:dyDescent="0.25">
      <c r="A10" s="24"/>
      <c r="B10" s="25"/>
      <c r="C10" s="26"/>
      <c r="D10" s="24"/>
      <c r="E10" s="24"/>
      <c r="F10" s="24"/>
      <c r="G10" s="24"/>
      <c r="H10" s="24"/>
      <c r="I10" s="24"/>
      <c r="J10" s="27"/>
      <c r="K10" s="24"/>
      <c r="L10" s="24"/>
      <c r="M10" s="24"/>
      <c r="N10" s="24"/>
      <c r="O10" s="24"/>
      <c r="P10" s="26"/>
      <c r="Q10" s="26"/>
      <c r="R10" s="26"/>
      <c r="S10" s="34" t="str">
        <f>IF(OR($C10="",$P10=""),"",MAX(0,ROUND(($P10-$C10)*1440,0)))</f>
        <v/>
      </c>
      <c r="T10" s="34" t="str">
        <f>IF(OR($P10="",$Q10=""),"",MAX(0,ROUND(($Q10-$P10)*1440,0)))</f>
        <v/>
      </c>
      <c r="U10" s="34" t="str">
        <f>IF(OR($Q10="",$R10=""),"",MAX(0,ROUND(($R10-$Q10)*1440,0)))</f>
        <v/>
      </c>
      <c r="V10" s="35" t="str">
        <f>IF($A10="","",IF($O10="No-show","Sim","Não"))</f>
        <v/>
      </c>
      <c r="W10" s="32"/>
    </row>
    <row r="11" spans="1:23" x14ac:dyDescent="0.25">
      <c r="A11" s="24"/>
      <c r="B11" s="25"/>
      <c r="C11" s="26"/>
      <c r="D11" s="24"/>
      <c r="E11" s="24"/>
      <c r="F11" s="24"/>
      <c r="G11" s="24"/>
      <c r="H11" s="24"/>
      <c r="I11" s="24"/>
      <c r="J11" s="27"/>
      <c r="K11" s="24"/>
      <c r="L11" s="24"/>
      <c r="M11" s="24"/>
      <c r="N11" s="24"/>
      <c r="O11" s="24"/>
      <c r="P11" s="26"/>
      <c r="Q11" s="26"/>
      <c r="R11" s="26"/>
      <c r="S11" s="34" t="str">
        <f>IF(OR($C11="",$P11=""),"",MAX(0,ROUND(($P11-$C11)*1440,0)))</f>
        <v/>
      </c>
      <c r="T11" s="34" t="str">
        <f>IF(OR($P11="",$Q11=""),"",MAX(0,ROUND(($Q11-$P11)*1440,0)))</f>
        <v/>
      </c>
      <c r="U11" s="34" t="str">
        <f>IF(OR($Q11="",$R11=""),"",MAX(0,ROUND(($R11-$Q11)*1440,0)))</f>
        <v/>
      </c>
      <c r="V11" s="35" t="str">
        <f>IF($A11="","",IF($O11="No-show","Sim","Não"))</f>
        <v/>
      </c>
      <c r="W11" s="32"/>
    </row>
    <row r="12" spans="1:23" x14ac:dyDescent="0.25">
      <c r="A12" s="24"/>
      <c r="B12" s="25"/>
      <c r="C12" s="26"/>
      <c r="D12" s="24"/>
      <c r="E12" s="24"/>
      <c r="F12" s="24"/>
      <c r="G12" s="24"/>
      <c r="H12" s="24"/>
      <c r="I12" s="24"/>
      <c r="J12" s="27"/>
      <c r="K12" s="24"/>
      <c r="L12" s="24"/>
      <c r="M12" s="24"/>
      <c r="N12" s="24"/>
      <c r="O12" s="24"/>
      <c r="P12" s="26"/>
      <c r="Q12" s="26"/>
      <c r="R12" s="26"/>
      <c r="S12" s="34" t="str">
        <f>IF(OR($C12="",$P12=""),"",MAX(0,ROUND(($P12-$C12)*1440,0)))</f>
        <v/>
      </c>
      <c r="T12" s="34" t="str">
        <f>IF(OR($P12="",$Q12=""),"",MAX(0,ROUND(($Q12-$P12)*1440,0)))</f>
        <v/>
      </c>
      <c r="U12" s="34" t="str">
        <f>IF(OR($Q12="",$R12=""),"",MAX(0,ROUND(($R12-$Q12)*1440,0)))</f>
        <v/>
      </c>
      <c r="V12" s="35" t="str">
        <f>IF($A12="","",IF($O12="No-show","Sim","Não"))</f>
        <v/>
      </c>
      <c r="W12" s="32"/>
    </row>
    <row r="13" spans="1:23" x14ac:dyDescent="0.25">
      <c r="A13" s="24"/>
      <c r="B13" s="25"/>
      <c r="C13" s="26"/>
      <c r="D13" s="24"/>
      <c r="E13" s="24"/>
      <c r="F13" s="24"/>
      <c r="G13" s="24"/>
      <c r="H13" s="24"/>
      <c r="I13" s="24"/>
      <c r="J13" s="27"/>
      <c r="K13" s="24"/>
      <c r="L13" s="24"/>
      <c r="M13" s="24"/>
      <c r="N13" s="24"/>
      <c r="O13" s="24"/>
      <c r="P13" s="26"/>
      <c r="Q13" s="26"/>
      <c r="R13" s="26"/>
      <c r="S13" s="34" t="str">
        <f>IF(OR($C13="",$P13=""),"",MAX(0,ROUND(($P13-$C13)*1440,0)))</f>
        <v/>
      </c>
      <c r="T13" s="34" t="str">
        <f>IF(OR($P13="",$Q13=""),"",MAX(0,ROUND(($Q13-$P13)*1440,0)))</f>
        <v/>
      </c>
      <c r="U13" s="34" t="str">
        <f>IF(OR($Q13="",$R13=""),"",MAX(0,ROUND(($R13-$Q13)*1440,0)))</f>
        <v/>
      </c>
      <c r="V13" s="35" t="str">
        <f>IF($A13="","",IF($O13="No-show","Sim","Não"))</f>
        <v/>
      </c>
      <c r="W13" s="32"/>
    </row>
    <row r="14" spans="1:23" x14ac:dyDescent="0.25">
      <c r="A14" s="24"/>
      <c r="B14" s="25"/>
      <c r="C14" s="26"/>
      <c r="D14" s="24"/>
      <c r="E14" s="24"/>
      <c r="F14" s="24"/>
      <c r="G14" s="24"/>
      <c r="H14" s="24"/>
      <c r="I14" s="24"/>
      <c r="J14" s="27"/>
      <c r="K14" s="24"/>
      <c r="L14" s="24"/>
      <c r="M14" s="24"/>
      <c r="N14" s="24"/>
      <c r="O14" s="24"/>
      <c r="P14" s="26"/>
      <c r="Q14" s="26"/>
      <c r="R14" s="26"/>
      <c r="S14" s="34" t="str">
        <f>IF(OR($C14="",$P14=""),"",MAX(0,ROUND(($P14-$C14)*1440,0)))</f>
        <v/>
      </c>
      <c r="T14" s="34" t="str">
        <f>IF(OR($P14="",$Q14=""),"",MAX(0,ROUND(($Q14-$P14)*1440,0)))</f>
        <v/>
      </c>
      <c r="U14" s="34" t="str">
        <f>IF(OR($Q14="",$R14=""),"",MAX(0,ROUND(($R14-$Q14)*1440,0)))</f>
        <v/>
      </c>
      <c r="V14" s="35" t="str">
        <f>IF($A14="","",IF($O14="No-show","Sim","Não"))</f>
        <v/>
      </c>
      <c r="W14" s="32"/>
    </row>
    <row r="15" spans="1:23" x14ac:dyDescent="0.25">
      <c r="A15" s="24"/>
      <c r="B15" s="25"/>
      <c r="C15" s="26"/>
      <c r="D15" s="24"/>
      <c r="E15" s="24"/>
      <c r="F15" s="24"/>
      <c r="G15" s="24"/>
      <c r="H15" s="24"/>
      <c r="I15" s="24"/>
      <c r="J15" s="27"/>
      <c r="K15" s="24"/>
      <c r="L15" s="24"/>
      <c r="M15" s="24"/>
      <c r="N15" s="24"/>
      <c r="O15" s="24"/>
      <c r="P15" s="26"/>
      <c r="Q15" s="26"/>
      <c r="R15" s="26"/>
      <c r="S15" s="34" t="str">
        <f>IF(OR($C15="",$P15=""),"",MAX(0,ROUND(($P15-$C15)*1440,0)))</f>
        <v/>
      </c>
      <c r="T15" s="34" t="str">
        <f>IF(OR($P15="",$Q15=""),"",MAX(0,ROUND(($Q15-$P15)*1440,0)))</f>
        <v/>
      </c>
      <c r="U15" s="34" t="str">
        <f>IF(OR($Q15="",$R15=""),"",MAX(0,ROUND(($R15-$Q15)*1440,0)))</f>
        <v/>
      </c>
      <c r="V15" s="35" t="str">
        <f>IF($A15="","",IF($O15="No-show","Sim","Não"))</f>
        <v/>
      </c>
      <c r="W15" s="32"/>
    </row>
    <row r="16" spans="1:23" x14ac:dyDescent="0.25">
      <c r="A16" s="24"/>
      <c r="B16" s="25"/>
      <c r="C16" s="26"/>
      <c r="D16" s="24"/>
      <c r="E16" s="24"/>
      <c r="F16" s="24"/>
      <c r="G16" s="24"/>
      <c r="H16" s="24"/>
      <c r="I16" s="24"/>
      <c r="J16" s="27"/>
      <c r="K16" s="24"/>
      <c r="L16" s="24"/>
      <c r="M16" s="24"/>
      <c r="N16" s="24"/>
      <c r="O16" s="24"/>
      <c r="P16" s="26"/>
      <c r="Q16" s="26"/>
      <c r="R16" s="26"/>
      <c r="S16" s="34" t="str">
        <f>IF(OR($C16="",$P16=""),"",MAX(0,ROUND(($P16-$C16)*1440,0)))</f>
        <v/>
      </c>
      <c r="T16" s="34" t="str">
        <f>IF(OR($P16="",$Q16=""),"",MAX(0,ROUND(($Q16-$P16)*1440,0)))</f>
        <v/>
      </c>
      <c r="U16" s="34" t="str">
        <f>IF(OR($Q16="",$R16=""),"",MAX(0,ROUND(($R16-$Q16)*1440,0)))</f>
        <v/>
      </c>
      <c r="V16" s="35" t="str">
        <f>IF($A16="","",IF($O16="No-show","Sim","Não"))</f>
        <v/>
      </c>
      <c r="W16" s="32"/>
    </row>
    <row r="17" spans="1:23" x14ac:dyDescent="0.25">
      <c r="A17" s="24"/>
      <c r="B17" s="25"/>
      <c r="C17" s="26"/>
      <c r="D17" s="24"/>
      <c r="E17" s="24"/>
      <c r="F17" s="24"/>
      <c r="G17" s="24"/>
      <c r="H17" s="24"/>
      <c r="I17" s="24"/>
      <c r="J17" s="27"/>
      <c r="K17" s="24"/>
      <c r="L17" s="24"/>
      <c r="M17" s="24"/>
      <c r="N17" s="24"/>
      <c r="O17" s="24"/>
      <c r="P17" s="26"/>
      <c r="Q17" s="26"/>
      <c r="R17" s="26"/>
      <c r="S17" s="34" t="str">
        <f>IF(OR($C17="",$P17=""),"",MAX(0,ROUND(($P17-$C17)*1440,0)))</f>
        <v/>
      </c>
      <c r="T17" s="34" t="str">
        <f>IF(OR($P17="",$Q17=""),"",MAX(0,ROUND(($Q17-$P17)*1440,0)))</f>
        <v/>
      </c>
      <c r="U17" s="34" t="str">
        <f>IF(OR($Q17="",$R17=""),"",MAX(0,ROUND(($R17-$Q17)*1440,0)))</f>
        <v/>
      </c>
      <c r="V17" s="35" t="str">
        <f>IF($A17="","",IF($O17="No-show","Sim","Não"))</f>
        <v/>
      </c>
      <c r="W17" s="32"/>
    </row>
    <row r="18" spans="1:23" x14ac:dyDescent="0.25">
      <c r="A18" s="24"/>
      <c r="B18" s="25"/>
      <c r="C18" s="26"/>
      <c r="D18" s="24"/>
      <c r="E18" s="24"/>
      <c r="F18" s="24"/>
      <c r="G18" s="24"/>
      <c r="H18" s="24"/>
      <c r="I18" s="24"/>
      <c r="J18" s="27"/>
      <c r="K18" s="24"/>
      <c r="L18" s="24"/>
      <c r="M18" s="24"/>
      <c r="N18" s="24"/>
      <c r="O18" s="24"/>
      <c r="P18" s="26"/>
      <c r="Q18" s="26"/>
      <c r="R18" s="26"/>
      <c r="S18" s="34" t="str">
        <f>IF(OR($C18="",$P18=""),"",MAX(0,ROUND(($P18-$C18)*1440,0)))</f>
        <v/>
      </c>
      <c r="T18" s="34" t="str">
        <f>IF(OR($P18="",$Q18=""),"",MAX(0,ROUND(($Q18-$P18)*1440,0)))</f>
        <v/>
      </c>
      <c r="U18" s="34" t="str">
        <f>IF(OR($Q18="",$R18=""),"",MAX(0,ROUND(($R18-$Q18)*1440,0)))</f>
        <v/>
      </c>
      <c r="V18" s="35" t="str">
        <f>IF($A18="","",IF($O18="No-show","Sim","Não"))</f>
        <v/>
      </c>
      <c r="W18" s="32"/>
    </row>
    <row r="19" spans="1:23" x14ac:dyDescent="0.25">
      <c r="A19" s="24"/>
      <c r="B19" s="25"/>
      <c r="C19" s="26"/>
      <c r="D19" s="24"/>
      <c r="E19" s="24"/>
      <c r="F19" s="24"/>
      <c r="G19" s="24"/>
      <c r="H19" s="24"/>
      <c r="I19" s="24"/>
      <c r="J19" s="27"/>
      <c r="K19" s="24"/>
      <c r="L19" s="24"/>
      <c r="M19" s="24"/>
      <c r="N19" s="24"/>
      <c r="O19" s="24"/>
      <c r="P19" s="26"/>
      <c r="Q19" s="26"/>
      <c r="R19" s="26"/>
      <c r="S19" s="34" t="str">
        <f>IF(OR($C19="",$P19=""),"",MAX(0,ROUND(($P19-$C19)*1440,0)))</f>
        <v/>
      </c>
      <c r="T19" s="34" t="str">
        <f>IF(OR($P19="",$Q19=""),"",MAX(0,ROUND(($Q19-$P19)*1440,0)))</f>
        <v/>
      </c>
      <c r="U19" s="34" t="str">
        <f>IF(OR($Q19="",$R19=""),"",MAX(0,ROUND(($R19-$Q19)*1440,0)))</f>
        <v/>
      </c>
      <c r="V19" s="35" t="str">
        <f>IF($A19="","",IF($O19="No-show","Sim","Não"))</f>
        <v/>
      </c>
      <c r="W19" s="32"/>
    </row>
    <row r="20" spans="1:23" x14ac:dyDescent="0.25">
      <c r="A20" s="24"/>
      <c r="B20" s="25"/>
      <c r="C20" s="26"/>
      <c r="D20" s="24"/>
      <c r="E20" s="24"/>
      <c r="F20" s="24"/>
      <c r="G20" s="24"/>
      <c r="H20" s="24"/>
      <c r="I20" s="24"/>
      <c r="J20" s="27"/>
      <c r="K20" s="24"/>
      <c r="L20" s="24"/>
      <c r="M20" s="24"/>
      <c r="N20" s="24"/>
      <c r="O20" s="24"/>
      <c r="P20" s="26"/>
      <c r="Q20" s="26"/>
      <c r="R20" s="26"/>
      <c r="S20" s="34" t="str">
        <f>IF(OR($C20="",$P20=""),"",MAX(0,ROUND(($P20-$C20)*1440,0)))</f>
        <v/>
      </c>
      <c r="T20" s="34" t="str">
        <f>IF(OR($P20="",$Q20=""),"",MAX(0,ROUND(($Q20-$P20)*1440,0)))</f>
        <v/>
      </c>
      <c r="U20" s="34" t="str">
        <f>IF(OR($Q20="",$R20=""),"",MAX(0,ROUND(($R20-$Q20)*1440,0)))</f>
        <v/>
      </c>
      <c r="V20" s="35" t="str">
        <f>IF($A20="","",IF($O20="No-show","Sim","Não"))</f>
        <v/>
      </c>
      <c r="W20" s="32"/>
    </row>
    <row r="21" spans="1:23" x14ac:dyDescent="0.25">
      <c r="A21" s="24"/>
      <c r="B21" s="25"/>
      <c r="C21" s="26"/>
      <c r="D21" s="24"/>
      <c r="E21" s="24"/>
      <c r="F21" s="24"/>
      <c r="G21" s="24"/>
      <c r="H21" s="24"/>
      <c r="I21" s="24"/>
      <c r="J21" s="27"/>
      <c r="K21" s="24"/>
      <c r="L21" s="24"/>
      <c r="M21" s="24"/>
      <c r="N21" s="24"/>
      <c r="O21" s="24"/>
      <c r="P21" s="26"/>
      <c r="Q21" s="26"/>
      <c r="R21" s="26"/>
      <c r="S21" s="34" t="str">
        <f>IF(OR($C21="",$P21=""),"",MAX(0,ROUND(($P21-$C21)*1440,0)))</f>
        <v/>
      </c>
      <c r="T21" s="34" t="str">
        <f>IF(OR($P21="",$Q21=""),"",MAX(0,ROUND(($Q21-$P21)*1440,0)))</f>
        <v/>
      </c>
      <c r="U21" s="34" t="str">
        <f>IF(OR($Q21="",$R21=""),"",MAX(0,ROUND(($R21-$Q21)*1440,0)))</f>
        <v/>
      </c>
      <c r="V21" s="35" t="str">
        <f>IF($A21="","",IF($O21="No-show","Sim","Não"))</f>
        <v/>
      </c>
      <c r="W21" s="32"/>
    </row>
    <row r="22" spans="1:23" x14ac:dyDescent="0.25">
      <c r="A22" s="24"/>
      <c r="B22" s="25"/>
      <c r="C22" s="26"/>
      <c r="D22" s="24"/>
      <c r="E22" s="24"/>
      <c r="F22" s="24"/>
      <c r="G22" s="24"/>
      <c r="H22" s="24"/>
      <c r="I22" s="24"/>
      <c r="J22" s="27"/>
      <c r="K22" s="24"/>
      <c r="L22" s="24"/>
      <c r="M22" s="24"/>
      <c r="N22" s="24"/>
      <c r="O22" s="24"/>
      <c r="P22" s="26"/>
      <c r="Q22" s="26"/>
      <c r="R22" s="26"/>
      <c r="S22" s="34" t="str">
        <f>IF(OR($C22="",$P22=""),"",MAX(0,ROUND(($P22-$C22)*1440,0)))</f>
        <v/>
      </c>
      <c r="T22" s="34" t="str">
        <f>IF(OR($P22="",$Q22=""),"",MAX(0,ROUND(($Q22-$P22)*1440,0)))</f>
        <v/>
      </c>
      <c r="U22" s="34" t="str">
        <f>IF(OR($Q22="",$R22=""),"",MAX(0,ROUND(($R22-$Q22)*1440,0)))</f>
        <v/>
      </c>
      <c r="V22" s="35" t="str">
        <f>IF($A22="","",IF($O22="No-show","Sim","Não"))</f>
        <v/>
      </c>
      <c r="W22" s="32"/>
    </row>
    <row r="23" spans="1:23" x14ac:dyDescent="0.25">
      <c r="A23" s="24"/>
      <c r="B23" s="25"/>
      <c r="C23" s="26"/>
      <c r="D23" s="24"/>
      <c r="E23" s="24"/>
      <c r="F23" s="24"/>
      <c r="G23" s="24"/>
      <c r="H23" s="24"/>
      <c r="I23" s="24"/>
      <c r="J23" s="27"/>
      <c r="K23" s="24"/>
      <c r="L23" s="24"/>
      <c r="M23" s="24"/>
      <c r="N23" s="24"/>
      <c r="O23" s="24"/>
      <c r="P23" s="26"/>
      <c r="Q23" s="26"/>
      <c r="R23" s="26"/>
      <c r="S23" s="34" t="str">
        <f>IF(OR($C23="",$P23=""),"",MAX(0,ROUND(($P23-$C23)*1440,0)))</f>
        <v/>
      </c>
      <c r="T23" s="34" t="str">
        <f>IF(OR($P23="",$Q23=""),"",MAX(0,ROUND(($Q23-$P23)*1440,0)))</f>
        <v/>
      </c>
      <c r="U23" s="34" t="str">
        <f>IF(OR($Q23="",$R23=""),"",MAX(0,ROUND(($R23-$Q23)*1440,0)))</f>
        <v/>
      </c>
      <c r="V23" s="35" t="str">
        <f>IF($A23="","",IF($O23="No-show","Sim","Não"))</f>
        <v/>
      </c>
      <c r="W23" s="32"/>
    </row>
    <row r="24" spans="1:23" x14ac:dyDescent="0.25">
      <c r="A24" s="24"/>
      <c r="B24" s="25"/>
      <c r="C24" s="26"/>
      <c r="D24" s="24"/>
      <c r="E24" s="24"/>
      <c r="F24" s="24"/>
      <c r="G24" s="24"/>
      <c r="H24" s="24"/>
      <c r="I24" s="24"/>
      <c r="J24" s="27"/>
      <c r="K24" s="24"/>
      <c r="L24" s="24"/>
      <c r="M24" s="24"/>
      <c r="N24" s="24"/>
      <c r="O24" s="24"/>
      <c r="P24" s="26"/>
      <c r="Q24" s="26"/>
      <c r="R24" s="26"/>
      <c r="S24" s="34" t="str">
        <f>IF(OR($C24="",$P24=""),"",MAX(0,ROUND(($P24-$C24)*1440,0)))</f>
        <v/>
      </c>
      <c r="T24" s="34" t="str">
        <f>IF(OR($P24="",$Q24=""),"",MAX(0,ROUND(($Q24-$P24)*1440,0)))</f>
        <v/>
      </c>
      <c r="U24" s="34" t="str">
        <f>IF(OR($Q24="",$R24=""),"",MAX(0,ROUND(($R24-$Q24)*1440,0)))</f>
        <v/>
      </c>
      <c r="V24" s="35" t="str">
        <f>IF($A24="","",IF($O24="No-show","Sim","Não"))</f>
        <v/>
      </c>
      <c r="W24" s="32"/>
    </row>
    <row r="25" spans="1:23" x14ac:dyDescent="0.25">
      <c r="A25" s="24"/>
      <c r="B25" s="25"/>
      <c r="C25" s="26"/>
      <c r="D25" s="24"/>
      <c r="E25" s="24"/>
      <c r="F25" s="24"/>
      <c r="G25" s="24"/>
      <c r="H25" s="24"/>
      <c r="I25" s="24"/>
      <c r="J25" s="27"/>
      <c r="K25" s="24"/>
      <c r="L25" s="24"/>
      <c r="M25" s="24"/>
      <c r="N25" s="24"/>
      <c r="O25" s="24"/>
      <c r="P25" s="26"/>
      <c r="Q25" s="26"/>
      <c r="R25" s="26"/>
      <c r="S25" s="34" t="str">
        <f>IF(OR($C25="",$P25=""),"",MAX(0,ROUND(($P25-$C25)*1440,0)))</f>
        <v/>
      </c>
      <c r="T25" s="34" t="str">
        <f>IF(OR($P25="",$Q25=""),"",MAX(0,ROUND(($Q25-$P25)*1440,0)))</f>
        <v/>
      </c>
      <c r="U25" s="34" t="str">
        <f>IF(OR($Q25="",$R25=""),"",MAX(0,ROUND(($R25-$Q25)*1440,0)))</f>
        <v/>
      </c>
      <c r="V25" s="35" t="str">
        <f>IF($A25="","",IF($O25="No-show","Sim","Não"))</f>
        <v/>
      </c>
      <c r="W25" s="32"/>
    </row>
    <row r="26" spans="1:23" x14ac:dyDescent="0.25">
      <c r="A26" s="24"/>
      <c r="B26" s="25"/>
      <c r="C26" s="26"/>
      <c r="D26" s="24"/>
      <c r="E26" s="24"/>
      <c r="F26" s="24"/>
      <c r="G26" s="24"/>
      <c r="H26" s="24"/>
      <c r="I26" s="24"/>
      <c r="J26" s="27"/>
      <c r="K26" s="24"/>
      <c r="L26" s="24"/>
      <c r="M26" s="24"/>
      <c r="N26" s="24"/>
      <c r="O26" s="24"/>
      <c r="P26" s="26"/>
      <c r="Q26" s="26"/>
      <c r="R26" s="26"/>
      <c r="S26" s="34" t="str">
        <f>IF(OR($C26="",$P26=""),"",MAX(0,ROUND(($P26-$C26)*1440,0)))</f>
        <v/>
      </c>
      <c r="T26" s="34" t="str">
        <f>IF(OR($P26="",$Q26=""),"",MAX(0,ROUND(($Q26-$P26)*1440,0)))</f>
        <v/>
      </c>
      <c r="U26" s="34" t="str">
        <f>IF(OR($Q26="",$R26=""),"",MAX(0,ROUND(($R26-$Q26)*1440,0)))</f>
        <v/>
      </c>
      <c r="V26" s="35" t="str">
        <f>IF($A26="","",IF($O26="No-show","Sim","Não"))</f>
        <v/>
      </c>
      <c r="W26" s="32"/>
    </row>
    <row r="27" spans="1:23" x14ac:dyDescent="0.25">
      <c r="A27" s="24"/>
      <c r="B27" s="25"/>
      <c r="C27" s="26"/>
      <c r="D27" s="24"/>
      <c r="E27" s="24"/>
      <c r="F27" s="24"/>
      <c r="G27" s="24"/>
      <c r="H27" s="24"/>
      <c r="I27" s="24"/>
      <c r="J27" s="27"/>
      <c r="K27" s="24"/>
      <c r="L27" s="24"/>
      <c r="M27" s="24"/>
      <c r="N27" s="24"/>
      <c r="O27" s="24"/>
      <c r="P27" s="26"/>
      <c r="Q27" s="26"/>
      <c r="R27" s="26"/>
      <c r="S27" s="34" t="str">
        <f>IF(OR($C27="",$P27=""),"",MAX(0,ROUND(($P27-$C27)*1440,0)))</f>
        <v/>
      </c>
      <c r="T27" s="34" t="str">
        <f>IF(OR($P27="",$Q27=""),"",MAX(0,ROUND(($Q27-$P27)*1440,0)))</f>
        <v/>
      </c>
      <c r="U27" s="34" t="str">
        <f>IF(OR($Q27="",$R27=""),"",MAX(0,ROUND(($R27-$Q27)*1440,0)))</f>
        <v/>
      </c>
      <c r="V27" s="35" t="str">
        <f>IF($A27="","",IF($O27="No-show","Sim","Não"))</f>
        <v/>
      </c>
      <c r="W27" s="32"/>
    </row>
    <row r="28" spans="1:23" x14ac:dyDescent="0.25">
      <c r="A28" s="24"/>
      <c r="B28" s="25"/>
      <c r="C28" s="26"/>
      <c r="D28" s="24"/>
      <c r="E28" s="24"/>
      <c r="F28" s="24"/>
      <c r="G28" s="24"/>
      <c r="H28" s="24"/>
      <c r="I28" s="24"/>
      <c r="J28" s="27"/>
      <c r="K28" s="24"/>
      <c r="L28" s="24"/>
      <c r="M28" s="24"/>
      <c r="N28" s="24"/>
      <c r="O28" s="24"/>
      <c r="P28" s="26"/>
      <c r="Q28" s="26"/>
      <c r="R28" s="26"/>
      <c r="S28" s="34" t="str">
        <f>IF(OR($C28="",$P28=""),"",MAX(0,ROUND(($P28-$C28)*1440,0)))</f>
        <v/>
      </c>
      <c r="T28" s="34" t="str">
        <f>IF(OR($P28="",$Q28=""),"",MAX(0,ROUND(($Q28-$P28)*1440,0)))</f>
        <v/>
      </c>
      <c r="U28" s="34" t="str">
        <f>IF(OR($Q28="",$R28=""),"",MAX(0,ROUND(($R28-$Q28)*1440,0)))</f>
        <v/>
      </c>
      <c r="V28" s="35" t="str">
        <f>IF($A28="","",IF($O28="No-show","Sim","Não"))</f>
        <v/>
      </c>
      <c r="W28" s="32"/>
    </row>
    <row r="29" spans="1:23" x14ac:dyDescent="0.25">
      <c r="A29" s="24"/>
      <c r="B29" s="25"/>
      <c r="C29" s="26"/>
      <c r="D29" s="24"/>
      <c r="E29" s="24"/>
      <c r="F29" s="24"/>
      <c r="G29" s="24"/>
      <c r="H29" s="24"/>
      <c r="I29" s="24"/>
      <c r="J29" s="27"/>
      <c r="K29" s="24"/>
      <c r="L29" s="24"/>
      <c r="M29" s="24"/>
      <c r="N29" s="24"/>
      <c r="O29" s="24"/>
      <c r="P29" s="26"/>
      <c r="Q29" s="26"/>
      <c r="R29" s="26"/>
      <c r="S29" s="34" t="str">
        <f>IF(OR($C29="",$P29=""),"",MAX(0,ROUND(($P29-$C29)*1440,0)))</f>
        <v/>
      </c>
      <c r="T29" s="34" t="str">
        <f>IF(OR($P29="",$Q29=""),"",MAX(0,ROUND(($Q29-$P29)*1440,0)))</f>
        <v/>
      </c>
      <c r="U29" s="34" t="str">
        <f>IF(OR($Q29="",$R29=""),"",MAX(0,ROUND(($R29-$Q29)*1440,0)))</f>
        <v/>
      </c>
      <c r="V29" s="35" t="str">
        <f>IF($A29="","",IF($O29="No-show","Sim","Não"))</f>
        <v/>
      </c>
      <c r="W29" s="32"/>
    </row>
    <row r="30" spans="1:23" x14ac:dyDescent="0.25">
      <c r="A30" s="24"/>
      <c r="B30" s="25"/>
      <c r="C30" s="26"/>
      <c r="D30" s="24"/>
      <c r="E30" s="24"/>
      <c r="F30" s="24"/>
      <c r="G30" s="24"/>
      <c r="H30" s="24"/>
      <c r="I30" s="24"/>
      <c r="J30" s="27"/>
      <c r="K30" s="24"/>
      <c r="L30" s="24"/>
      <c r="M30" s="24"/>
      <c r="N30" s="24"/>
      <c r="O30" s="24"/>
      <c r="P30" s="26"/>
      <c r="Q30" s="26"/>
      <c r="R30" s="26"/>
      <c r="S30" s="34" t="str">
        <f>IF(OR($C30="",$P30=""),"",MAX(0,ROUND(($P30-$C30)*1440,0)))</f>
        <v/>
      </c>
      <c r="T30" s="34" t="str">
        <f>IF(OR($P30="",$Q30=""),"",MAX(0,ROUND(($Q30-$P30)*1440,0)))</f>
        <v/>
      </c>
      <c r="U30" s="34" t="str">
        <f>IF(OR($Q30="",$R30=""),"",MAX(0,ROUND(($R30-$Q30)*1440,0)))</f>
        <v/>
      </c>
      <c r="V30" s="35" t="str">
        <f>IF($A30="","",IF($O30="No-show","Sim","Não"))</f>
        <v/>
      </c>
      <c r="W30" s="32"/>
    </row>
    <row r="31" spans="1:23" x14ac:dyDescent="0.25">
      <c r="A31" s="24"/>
      <c r="B31" s="25"/>
      <c r="C31" s="26"/>
      <c r="D31" s="24"/>
      <c r="E31" s="24"/>
      <c r="F31" s="24"/>
      <c r="G31" s="24"/>
      <c r="H31" s="24"/>
      <c r="I31" s="24"/>
      <c r="J31" s="27"/>
      <c r="K31" s="24"/>
      <c r="L31" s="24"/>
      <c r="M31" s="24"/>
      <c r="N31" s="24"/>
      <c r="O31" s="24"/>
      <c r="P31" s="26"/>
      <c r="Q31" s="26"/>
      <c r="R31" s="26"/>
      <c r="S31" s="34" t="str">
        <f>IF(OR($C31="",$P31=""),"",MAX(0,ROUND(($P31-$C31)*1440,0)))</f>
        <v/>
      </c>
      <c r="T31" s="34" t="str">
        <f>IF(OR($P31="",$Q31=""),"",MAX(0,ROUND(($Q31-$P31)*1440,0)))</f>
        <v/>
      </c>
      <c r="U31" s="34" t="str">
        <f>IF(OR($Q31="",$R31=""),"",MAX(0,ROUND(($R31-$Q31)*1440,0)))</f>
        <v/>
      </c>
      <c r="V31" s="35" t="str">
        <f>IF($A31="","",IF($O31="No-show","Sim","Não"))</f>
        <v/>
      </c>
      <c r="W31" s="32"/>
    </row>
    <row r="32" spans="1:23" x14ac:dyDescent="0.25">
      <c r="A32" s="24"/>
      <c r="B32" s="25"/>
      <c r="C32" s="26"/>
      <c r="D32" s="24"/>
      <c r="E32" s="24"/>
      <c r="F32" s="24"/>
      <c r="G32" s="24"/>
      <c r="H32" s="24"/>
      <c r="I32" s="24"/>
      <c r="J32" s="27"/>
      <c r="K32" s="24"/>
      <c r="L32" s="24"/>
      <c r="M32" s="24"/>
      <c r="N32" s="24"/>
      <c r="O32" s="24"/>
      <c r="P32" s="26"/>
      <c r="Q32" s="26"/>
      <c r="R32" s="26"/>
      <c r="S32" s="34" t="str">
        <f>IF(OR($C32="",$P32=""),"",MAX(0,ROUND(($P32-$C32)*1440,0)))</f>
        <v/>
      </c>
      <c r="T32" s="34" t="str">
        <f>IF(OR($P32="",$Q32=""),"",MAX(0,ROUND(($Q32-$P32)*1440,0)))</f>
        <v/>
      </c>
      <c r="U32" s="34" t="str">
        <f>IF(OR($Q32="",$R32=""),"",MAX(0,ROUND(($R32-$Q32)*1440,0)))</f>
        <v/>
      </c>
      <c r="V32" s="35" t="str">
        <f>IF($A32="","",IF($O32="No-show","Sim","Não"))</f>
        <v/>
      </c>
      <c r="W32" s="32"/>
    </row>
    <row r="33" spans="1:23" x14ac:dyDescent="0.25">
      <c r="A33" s="24"/>
      <c r="B33" s="25"/>
      <c r="C33" s="26"/>
      <c r="D33" s="24"/>
      <c r="E33" s="24"/>
      <c r="F33" s="24"/>
      <c r="G33" s="24"/>
      <c r="H33" s="24"/>
      <c r="I33" s="24"/>
      <c r="J33" s="27"/>
      <c r="K33" s="24"/>
      <c r="L33" s="24"/>
      <c r="M33" s="24"/>
      <c r="N33" s="24"/>
      <c r="O33" s="24"/>
      <c r="P33" s="26"/>
      <c r="Q33" s="26"/>
      <c r="R33" s="26"/>
      <c r="S33" s="34" t="str">
        <f>IF(OR($C33="",$P33=""),"",MAX(0,ROUND(($P33-$C33)*1440,0)))</f>
        <v/>
      </c>
      <c r="T33" s="34" t="str">
        <f>IF(OR($P33="",$Q33=""),"",MAX(0,ROUND(($Q33-$P33)*1440,0)))</f>
        <v/>
      </c>
      <c r="U33" s="34" t="str">
        <f>IF(OR($Q33="",$R33=""),"",MAX(0,ROUND(($R33-$Q33)*1440,0)))</f>
        <v/>
      </c>
      <c r="V33" s="35" t="str">
        <f>IF($A33="","",IF($O33="No-show","Sim","Não"))</f>
        <v/>
      </c>
      <c r="W33" s="32"/>
    </row>
    <row r="34" spans="1:23" x14ac:dyDescent="0.25">
      <c r="A34" s="24"/>
      <c r="B34" s="25"/>
      <c r="C34" s="26"/>
      <c r="D34" s="24"/>
      <c r="E34" s="24"/>
      <c r="F34" s="24"/>
      <c r="G34" s="24"/>
      <c r="H34" s="24"/>
      <c r="I34" s="24"/>
      <c r="J34" s="27"/>
      <c r="K34" s="24"/>
      <c r="L34" s="24"/>
      <c r="M34" s="24"/>
      <c r="N34" s="24"/>
      <c r="O34" s="24"/>
      <c r="P34" s="26"/>
      <c r="Q34" s="26"/>
      <c r="R34" s="26"/>
      <c r="S34" s="34" t="str">
        <f>IF(OR($C34="",$P34=""),"",MAX(0,ROUND(($P34-$C34)*1440,0)))</f>
        <v/>
      </c>
      <c r="T34" s="34" t="str">
        <f>IF(OR($P34="",$Q34=""),"",MAX(0,ROUND(($Q34-$P34)*1440,0)))</f>
        <v/>
      </c>
      <c r="U34" s="34" t="str">
        <f>IF(OR($Q34="",$R34=""),"",MAX(0,ROUND(($R34-$Q34)*1440,0)))</f>
        <v/>
      </c>
      <c r="V34" s="35" t="str">
        <f>IF($A34="","",IF($O34="No-show","Sim","Não"))</f>
        <v/>
      </c>
      <c r="W34" s="32"/>
    </row>
    <row r="35" spans="1:23" x14ac:dyDescent="0.25">
      <c r="A35" s="24"/>
      <c r="B35" s="25"/>
      <c r="C35" s="26"/>
      <c r="D35" s="24"/>
      <c r="E35" s="24"/>
      <c r="F35" s="24"/>
      <c r="G35" s="24"/>
      <c r="H35" s="24"/>
      <c r="I35" s="24"/>
      <c r="J35" s="27"/>
      <c r="K35" s="24"/>
      <c r="L35" s="24"/>
      <c r="M35" s="24"/>
      <c r="N35" s="24"/>
      <c r="O35" s="24"/>
      <c r="P35" s="26"/>
      <c r="Q35" s="26"/>
      <c r="R35" s="26"/>
      <c r="S35" s="34" t="str">
        <f>IF(OR($C35="",$P35=""),"",MAX(0,ROUND(($P35-$C35)*1440,0)))</f>
        <v/>
      </c>
      <c r="T35" s="34" t="str">
        <f>IF(OR($P35="",$Q35=""),"",MAX(0,ROUND(($Q35-$P35)*1440,0)))</f>
        <v/>
      </c>
      <c r="U35" s="34" t="str">
        <f>IF(OR($Q35="",$R35=""),"",MAX(0,ROUND(($R35-$Q35)*1440,0)))</f>
        <v/>
      </c>
      <c r="V35" s="35" t="str">
        <f>IF($A35="","",IF($O35="No-show","Sim","Não"))</f>
        <v/>
      </c>
      <c r="W35" s="32"/>
    </row>
    <row r="36" spans="1:23" x14ac:dyDescent="0.25">
      <c r="A36" s="24"/>
      <c r="B36" s="25"/>
      <c r="C36" s="26"/>
      <c r="D36" s="24"/>
      <c r="E36" s="24"/>
      <c r="F36" s="24"/>
      <c r="G36" s="24"/>
      <c r="H36" s="24"/>
      <c r="I36" s="24"/>
      <c r="J36" s="27"/>
      <c r="K36" s="24"/>
      <c r="L36" s="24"/>
      <c r="M36" s="24"/>
      <c r="N36" s="24"/>
      <c r="O36" s="24"/>
      <c r="P36" s="26"/>
      <c r="Q36" s="26"/>
      <c r="R36" s="26"/>
      <c r="S36" s="34" t="str">
        <f>IF(OR($C36="",$P36=""),"",MAX(0,ROUND(($P36-$C36)*1440,0)))</f>
        <v/>
      </c>
      <c r="T36" s="34" t="str">
        <f>IF(OR($P36="",$Q36=""),"",MAX(0,ROUND(($Q36-$P36)*1440,0)))</f>
        <v/>
      </c>
      <c r="U36" s="34" t="str">
        <f>IF(OR($Q36="",$R36=""),"",MAX(0,ROUND(($R36-$Q36)*1440,0)))</f>
        <v/>
      </c>
      <c r="V36" s="35" t="str">
        <f>IF($A36="","",IF($O36="No-show","Sim","Não"))</f>
        <v/>
      </c>
      <c r="W36" s="32"/>
    </row>
    <row r="37" spans="1:23" x14ac:dyDescent="0.25">
      <c r="A37" s="24"/>
      <c r="B37" s="25"/>
      <c r="C37" s="26"/>
      <c r="D37" s="24"/>
      <c r="E37" s="24"/>
      <c r="F37" s="24"/>
      <c r="G37" s="24"/>
      <c r="H37" s="24"/>
      <c r="I37" s="24"/>
      <c r="J37" s="27"/>
      <c r="K37" s="24"/>
      <c r="L37" s="24"/>
      <c r="M37" s="24"/>
      <c r="N37" s="24"/>
      <c r="O37" s="24"/>
      <c r="P37" s="26"/>
      <c r="Q37" s="26"/>
      <c r="R37" s="26"/>
      <c r="S37" s="34" t="str">
        <f>IF(OR($C37="",$P37=""),"",MAX(0,ROUND(($P37-$C37)*1440,0)))</f>
        <v/>
      </c>
      <c r="T37" s="34" t="str">
        <f>IF(OR($P37="",$Q37=""),"",MAX(0,ROUND(($Q37-$P37)*1440,0)))</f>
        <v/>
      </c>
      <c r="U37" s="34" t="str">
        <f>IF(OR($Q37="",$R37=""),"",MAX(0,ROUND(($R37-$Q37)*1440,0)))</f>
        <v/>
      </c>
      <c r="V37" s="35" t="str">
        <f>IF($A37="","",IF($O37="No-show","Sim","Não"))</f>
        <v/>
      </c>
      <c r="W37" s="32"/>
    </row>
    <row r="38" spans="1:23" x14ac:dyDescent="0.25">
      <c r="A38" s="24"/>
      <c r="B38" s="25"/>
      <c r="C38" s="26"/>
      <c r="D38" s="24"/>
      <c r="E38" s="24"/>
      <c r="F38" s="24"/>
      <c r="G38" s="24"/>
      <c r="H38" s="24"/>
      <c r="I38" s="24"/>
      <c r="J38" s="27"/>
      <c r="K38" s="24"/>
      <c r="L38" s="24"/>
      <c r="M38" s="24"/>
      <c r="N38" s="24"/>
      <c r="O38" s="24"/>
      <c r="P38" s="26"/>
      <c r="Q38" s="26"/>
      <c r="R38" s="26"/>
      <c r="S38" s="34" t="str">
        <f>IF(OR($C38="",$P38=""),"",MAX(0,ROUND(($P38-$C38)*1440,0)))</f>
        <v/>
      </c>
      <c r="T38" s="34" t="str">
        <f>IF(OR($P38="",$Q38=""),"",MAX(0,ROUND(($Q38-$P38)*1440,0)))</f>
        <v/>
      </c>
      <c r="U38" s="34" t="str">
        <f>IF(OR($Q38="",$R38=""),"",MAX(0,ROUND(($R38-$Q38)*1440,0)))</f>
        <v/>
      </c>
      <c r="V38" s="35" t="str">
        <f>IF($A38="","",IF($O38="No-show","Sim","Não"))</f>
        <v/>
      </c>
      <c r="W38" s="32"/>
    </row>
    <row r="39" spans="1:23" x14ac:dyDescent="0.25">
      <c r="A39" s="24"/>
      <c r="B39" s="25"/>
      <c r="C39" s="26"/>
      <c r="D39" s="24"/>
      <c r="E39" s="24"/>
      <c r="F39" s="24"/>
      <c r="G39" s="24"/>
      <c r="H39" s="24"/>
      <c r="I39" s="24"/>
      <c r="J39" s="27"/>
      <c r="K39" s="24"/>
      <c r="L39" s="24"/>
      <c r="M39" s="24"/>
      <c r="N39" s="24"/>
      <c r="O39" s="24"/>
      <c r="P39" s="26"/>
      <c r="Q39" s="26"/>
      <c r="R39" s="26"/>
      <c r="S39" s="34" t="str">
        <f>IF(OR($C39="",$P39=""),"",MAX(0,ROUND(($P39-$C39)*1440,0)))</f>
        <v/>
      </c>
      <c r="T39" s="34" t="str">
        <f>IF(OR($P39="",$Q39=""),"",MAX(0,ROUND(($Q39-$P39)*1440,0)))</f>
        <v/>
      </c>
      <c r="U39" s="34" t="str">
        <f>IF(OR($Q39="",$R39=""),"",MAX(0,ROUND(($R39-$Q39)*1440,0)))</f>
        <v/>
      </c>
      <c r="V39" s="35" t="str">
        <f>IF($A39="","",IF($O39="No-show","Sim","Não"))</f>
        <v/>
      </c>
      <c r="W39" s="32"/>
    </row>
    <row r="40" spans="1:23" x14ac:dyDescent="0.25">
      <c r="A40" s="24"/>
      <c r="B40" s="25"/>
      <c r="C40" s="26"/>
      <c r="D40" s="24"/>
      <c r="E40" s="24"/>
      <c r="F40" s="24"/>
      <c r="G40" s="24"/>
      <c r="H40" s="24"/>
      <c r="I40" s="24"/>
      <c r="J40" s="27"/>
      <c r="K40" s="24"/>
      <c r="L40" s="24"/>
      <c r="M40" s="24"/>
      <c r="N40" s="24"/>
      <c r="O40" s="24"/>
      <c r="P40" s="26"/>
      <c r="Q40" s="26"/>
      <c r="R40" s="26"/>
      <c r="S40" s="34" t="str">
        <f>IF(OR($C40="",$P40=""),"",MAX(0,ROUND(($P40-$C40)*1440,0)))</f>
        <v/>
      </c>
      <c r="T40" s="34" t="str">
        <f>IF(OR($P40="",$Q40=""),"",MAX(0,ROUND(($Q40-$P40)*1440,0)))</f>
        <v/>
      </c>
      <c r="U40" s="34" t="str">
        <f>IF(OR($Q40="",$R40=""),"",MAX(0,ROUND(($R40-$Q40)*1440,0)))</f>
        <v/>
      </c>
      <c r="V40" s="35" t="str">
        <f>IF($A40="","",IF($O40="No-show","Sim","Não"))</f>
        <v/>
      </c>
      <c r="W40" s="32"/>
    </row>
    <row r="41" spans="1:23" x14ac:dyDescent="0.25">
      <c r="A41" s="24"/>
      <c r="B41" s="25"/>
      <c r="C41" s="26"/>
      <c r="D41" s="24"/>
      <c r="E41" s="24"/>
      <c r="F41" s="24"/>
      <c r="G41" s="24"/>
      <c r="H41" s="24"/>
      <c r="I41" s="24"/>
      <c r="J41" s="27"/>
      <c r="K41" s="24"/>
      <c r="L41" s="24"/>
      <c r="M41" s="24"/>
      <c r="N41" s="24"/>
      <c r="O41" s="24"/>
      <c r="P41" s="26"/>
      <c r="Q41" s="26"/>
      <c r="R41" s="26"/>
      <c r="S41" s="34" t="str">
        <f>IF(OR($C41="",$P41=""),"",MAX(0,ROUND(($P41-$C41)*1440,0)))</f>
        <v/>
      </c>
      <c r="T41" s="34" t="str">
        <f>IF(OR($P41="",$Q41=""),"",MAX(0,ROUND(($Q41-$P41)*1440,0)))</f>
        <v/>
      </c>
      <c r="U41" s="34" t="str">
        <f>IF(OR($Q41="",$R41=""),"",MAX(0,ROUND(($R41-$Q41)*1440,0)))</f>
        <v/>
      </c>
      <c r="V41" s="35" t="str">
        <f>IF($A41="","",IF($O41="No-show","Sim","Não"))</f>
        <v/>
      </c>
      <c r="W41" s="32"/>
    </row>
    <row r="42" spans="1:23" x14ac:dyDescent="0.25">
      <c r="A42" s="24"/>
      <c r="B42" s="25"/>
      <c r="C42" s="26"/>
      <c r="D42" s="24"/>
      <c r="E42" s="24"/>
      <c r="F42" s="24"/>
      <c r="G42" s="24"/>
      <c r="H42" s="24"/>
      <c r="I42" s="24"/>
      <c r="J42" s="27"/>
      <c r="K42" s="24"/>
      <c r="L42" s="24"/>
      <c r="M42" s="24"/>
      <c r="N42" s="24"/>
      <c r="O42" s="24"/>
      <c r="P42" s="26"/>
      <c r="Q42" s="26"/>
      <c r="R42" s="26"/>
      <c r="S42" s="34" t="str">
        <f>IF(OR($C42="",$P42=""),"",MAX(0,ROUND(($P42-$C42)*1440,0)))</f>
        <v/>
      </c>
      <c r="T42" s="34" t="str">
        <f>IF(OR($P42="",$Q42=""),"",MAX(0,ROUND(($Q42-$P42)*1440,0)))</f>
        <v/>
      </c>
      <c r="U42" s="34" t="str">
        <f>IF(OR($Q42="",$R42=""),"",MAX(0,ROUND(($R42-$Q42)*1440,0)))</f>
        <v/>
      </c>
      <c r="V42" s="35" t="str">
        <f>IF($A42="","",IF($O42="No-show","Sim","Não"))</f>
        <v/>
      </c>
      <c r="W42" s="32"/>
    </row>
    <row r="43" spans="1:23" x14ac:dyDescent="0.25">
      <c r="A43" s="24"/>
      <c r="B43" s="25"/>
      <c r="C43" s="26"/>
      <c r="D43" s="24"/>
      <c r="E43" s="24"/>
      <c r="F43" s="24"/>
      <c r="G43" s="24"/>
      <c r="H43" s="24"/>
      <c r="I43" s="24"/>
      <c r="J43" s="27"/>
      <c r="K43" s="24"/>
      <c r="L43" s="24"/>
      <c r="M43" s="24"/>
      <c r="N43" s="24"/>
      <c r="O43" s="24"/>
      <c r="P43" s="26"/>
      <c r="Q43" s="26"/>
      <c r="R43" s="26"/>
      <c r="S43" s="34" t="str">
        <f>IF(OR($C43="",$P43=""),"",MAX(0,ROUND(($P43-$C43)*1440,0)))</f>
        <v/>
      </c>
      <c r="T43" s="34" t="str">
        <f>IF(OR($P43="",$Q43=""),"",MAX(0,ROUND(($Q43-$P43)*1440,0)))</f>
        <v/>
      </c>
      <c r="U43" s="34" t="str">
        <f>IF(OR($Q43="",$R43=""),"",MAX(0,ROUND(($R43-$Q43)*1440,0)))</f>
        <v/>
      </c>
      <c r="V43" s="35" t="str">
        <f>IF($A43="","",IF($O43="No-show","Sim","Não"))</f>
        <v/>
      </c>
      <c r="W43" s="32"/>
    </row>
    <row r="44" spans="1:23" x14ac:dyDescent="0.25">
      <c r="A44" s="24"/>
      <c r="B44" s="25"/>
      <c r="C44" s="26"/>
      <c r="D44" s="24"/>
      <c r="E44" s="24"/>
      <c r="F44" s="24"/>
      <c r="G44" s="24"/>
      <c r="H44" s="24"/>
      <c r="I44" s="24"/>
      <c r="J44" s="27"/>
      <c r="K44" s="24"/>
      <c r="L44" s="24"/>
      <c r="M44" s="24"/>
      <c r="N44" s="24"/>
      <c r="O44" s="24"/>
      <c r="P44" s="26"/>
      <c r="Q44" s="26"/>
      <c r="R44" s="26"/>
      <c r="S44" s="34" t="str">
        <f>IF(OR($C44="",$P44=""),"",MAX(0,ROUND(($P44-$C44)*1440,0)))</f>
        <v/>
      </c>
      <c r="T44" s="34" t="str">
        <f>IF(OR($P44="",$Q44=""),"",MAX(0,ROUND(($Q44-$P44)*1440,0)))</f>
        <v/>
      </c>
      <c r="U44" s="34" t="str">
        <f>IF(OR($Q44="",$R44=""),"",MAX(0,ROUND(($R44-$Q44)*1440,0)))</f>
        <v/>
      </c>
      <c r="V44" s="35" t="str">
        <f>IF($A44="","",IF($O44="No-show","Sim","Não"))</f>
        <v/>
      </c>
      <c r="W44" s="32"/>
    </row>
    <row r="45" spans="1:23" x14ac:dyDescent="0.25">
      <c r="A45" s="24"/>
      <c r="B45" s="25"/>
      <c r="C45" s="26"/>
      <c r="D45" s="24"/>
      <c r="E45" s="24"/>
      <c r="F45" s="24"/>
      <c r="G45" s="24"/>
      <c r="H45" s="24"/>
      <c r="I45" s="24"/>
      <c r="J45" s="27"/>
      <c r="K45" s="24"/>
      <c r="L45" s="24"/>
      <c r="M45" s="24"/>
      <c r="N45" s="24"/>
      <c r="O45" s="24"/>
      <c r="P45" s="26"/>
      <c r="Q45" s="26"/>
      <c r="R45" s="26"/>
      <c r="S45" s="34" t="str">
        <f>IF(OR($C45="",$P45=""),"",MAX(0,ROUND(($P45-$C45)*1440,0)))</f>
        <v/>
      </c>
      <c r="T45" s="34" t="str">
        <f>IF(OR($P45="",$Q45=""),"",MAX(0,ROUND(($Q45-$P45)*1440,0)))</f>
        <v/>
      </c>
      <c r="U45" s="34" t="str">
        <f>IF(OR($Q45="",$R45=""),"",MAX(0,ROUND(($R45-$Q45)*1440,0)))</f>
        <v/>
      </c>
      <c r="V45" s="35" t="str">
        <f>IF($A45="","",IF($O45="No-show","Sim","Não"))</f>
        <v/>
      </c>
      <c r="W45" s="32"/>
    </row>
    <row r="46" spans="1:23" x14ac:dyDescent="0.25">
      <c r="A46" s="24"/>
      <c r="B46" s="25"/>
      <c r="C46" s="26"/>
      <c r="D46" s="24"/>
      <c r="E46" s="24"/>
      <c r="F46" s="24"/>
      <c r="G46" s="24"/>
      <c r="H46" s="24"/>
      <c r="I46" s="24"/>
      <c r="J46" s="27"/>
      <c r="K46" s="24"/>
      <c r="L46" s="24"/>
      <c r="M46" s="24"/>
      <c r="N46" s="24"/>
      <c r="O46" s="24"/>
      <c r="P46" s="26"/>
      <c r="Q46" s="26"/>
      <c r="R46" s="26"/>
      <c r="S46" s="34" t="str">
        <f>IF(OR($C46="",$P46=""),"",MAX(0,ROUND(($P46-$C46)*1440,0)))</f>
        <v/>
      </c>
      <c r="T46" s="34" t="str">
        <f>IF(OR($P46="",$Q46=""),"",MAX(0,ROUND(($Q46-$P46)*1440,0)))</f>
        <v/>
      </c>
      <c r="U46" s="34" t="str">
        <f>IF(OR($Q46="",$R46=""),"",MAX(0,ROUND(($R46-$Q46)*1440,0)))</f>
        <v/>
      </c>
      <c r="V46" s="35" t="str">
        <f>IF($A46="","",IF($O46="No-show","Sim","Não"))</f>
        <v/>
      </c>
      <c r="W46" s="32"/>
    </row>
    <row r="47" spans="1:23" x14ac:dyDescent="0.25">
      <c r="A47" s="24"/>
      <c r="B47" s="25"/>
      <c r="C47" s="26"/>
      <c r="D47" s="24"/>
      <c r="E47" s="24"/>
      <c r="F47" s="24"/>
      <c r="G47" s="24"/>
      <c r="H47" s="24"/>
      <c r="I47" s="24"/>
      <c r="J47" s="27"/>
      <c r="K47" s="24"/>
      <c r="L47" s="24"/>
      <c r="M47" s="24"/>
      <c r="N47" s="24"/>
      <c r="O47" s="24"/>
      <c r="P47" s="26"/>
      <c r="Q47" s="26"/>
      <c r="R47" s="26"/>
      <c r="S47" s="34" t="str">
        <f>IF(OR($C47="",$P47=""),"",MAX(0,ROUND(($P47-$C47)*1440,0)))</f>
        <v/>
      </c>
      <c r="T47" s="34" t="str">
        <f>IF(OR($P47="",$Q47=""),"",MAX(0,ROUND(($Q47-$P47)*1440,0)))</f>
        <v/>
      </c>
      <c r="U47" s="34" t="str">
        <f>IF(OR($Q47="",$R47=""),"",MAX(0,ROUND(($R47-$Q47)*1440,0)))</f>
        <v/>
      </c>
      <c r="V47" s="35" t="str">
        <f>IF($A47="","",IF($O47="No-show","Sim","Não"))</f>
        <v/>
      </c>
      <c r="W47" s="32"/>
    </row>
    <row r="48" spans="1:23" x14ac:dyDescent="0.25">
      <c r="A48" s="24"/>
      <c r="B48" s="25"/>
      <c r="C48" s="26"/>
      <c r="D48" s="24"/>
      <c r="E48" s="24"/>
      <c r="F48" s="24"/>
      <c r="G48" s="24"/>
      <c r="H48" s="24"/>
      <c r="I48" s="24"/>
      <c r="J48" s="27"/>
      <c r="K48" s="24"/>
      <c r="L48" s="24"/>
      <c r="M48" s="24"/>
      <c r="N48" s="24"/>
      <c r="O48" s="24"/>
      <c r="P48" s="26"/>
      <c r="Q48" s="26"/>
      <c r="R48" s="26"/>
      <c r="S48" s="34" t="str">
        <f>IF(OR($C48="",$P48=""),"",MAX(0,ROUND(($P48-$C48)*1440,0)))</f>
        <v/>
      </c>
      <c r="T48" s="34" t="str">
        <f>IF(OR($P48="",$Q48=""),"",MAX(0,ROUND(($Q48-$P48)*1440,0)))</f>
        <v/>
      </c>
      <c r="U48" s="34" t="str">
        <f>IF(OR($Q48="",$R48=""),"",MAX(0,ROUND(($R48-$Q48)*1440,0)))</f>
        <v/>
      </c>
      <c r="V48" s="35" t="str">
        <f>IF($A48="","",IF($O48="No-show","Sim","Não"))</f>
        <v/>
      </c>
      <c r="W48" s="32"/>
    </row>
    <row r="49" spans="1:23" x14ac:dyDescent="0.25">
      <c r="A49" s="24"/>
      <c r="B49" s="25"/>
      <c r="C49" s="26"/>
      <c r="D49" s="24"/>
      <c r="E49" s="24"/>
      <c r="F49" s="24"/>
      <c r="G49" s="24"/>
      <c r="H49" s="24"/>
      <c r="I49" s="24"/>
      <c r="J49" s="27"/>
      <c r="K49" s="24"/>
      <c r="L49" s="24"/>
      <c r="M49" s="24"/>
      <c r="N49" s="24"/>
      <c r="O49" s="24"/>
      <c r="P49" s="26"/>
      <c r="Q49" s="26"/>
      <c r="R49" s="26"/>
      <c r="S49" s="34" t="str">
        <f>IF(OR($C49="",$P49=""),"",MAX(0,ROUND(($P49-$C49)*1440,0)))</f>
        <v/>
      </c>
      <c r="T49" s="34" t="str">
        <f>IF(OR($P49="",$Q49=""),"",MAX(0,ROUND(($Q49-$P49)*1440,0)))</f>
        <v/>
      </c>
      <c r="U49" s="34" t="str">
        <f>IF(OR($Q49="",$R49=""),"",MAX(0,ROUND(($R49-$Q49)*1440,0)))</f>
        <v/>
      </c>
      <c r="V49" s="35" t="str">
        <f>IF($A49="","",IF($O49="No-show","Sim","Não"))</f>
        <v/>
      </c>
      <c r="W49" s="32"/>
    </row>
    <row r="50" spans="1:23" x14ac:dyDescent="0.25">
      <c r="A50" s="24"/>
      <c r="B50" s="25"/>
      <c r="C50" s="26"/>
      <c r="D50" s="24"/>
      <c r="E50" s="24"/>
      <c r="F50" s="24"/>
      <c r="G50" s="24"/>
      <c r="H50" s="24"/>
      <c r="I50" s="24"/>
      <c r="J50" s="27"/>
      <c r="K50" s="24"/>
      <c r="L50" s="24"/>
      <c r="M50" s="24"/>
      <c r="N50" s="24"/>
      <c r="O50" s="24"/>
      <c r="P50" s="26"/>
      <c r="Q50" s="26"/>
      <c r="R50" s="26"/>
      <c r="S50" s="34" t="str">
        <f>IF(OR($C50="",$P50=""),"",MAX(0,ROUND(($P50-$C50)*1440,0)))</f>
        <v/>
      </c>
      <c r="T50" s="34" t="str">
        <f>IF(OR($P50="",$Q50=""),"",MAX(0,ROUND(($Q50-$P50)*1440,0)))</f>
        <v/>
      </c>
      <c r="U50" s="34" t="str">
        <f>IF(OR($Q50="",$R50=""),"",MAX(0,ROUND(($R50-$Q50)*1440,0)))</f>
        <v/>
      </c>
      <c r="V50" s="35" t="str">
        <f>IF($A50="","",IF($O50="No-show","Sim","Não"))</f>
        <v/>
      </c>
      <c r="W50" s="32"/>
    </row>
    <row r="51" spans="1:23" x14ac:dyDescent="0.25">
      <c r="A51" s="24"/>
      <c r="B51" s="25"/>
      <c r="C51" s="26"/>
      <c r="D51" s="24"/>
      <c r="E51" s="24"/>
      <c r="F51" s="24"/>
      <c r="G51" s="24"/>
      <c r="H51" s="24"/>
      <c r="I51" s="24"/>
      <c r="J51" s="27"/>
      <c r="K51" s="24"/>
      <c r="L51" s="24"/>
      <c r="M51" s="24"/>
      <c r="N51" s="24"/>
      <c r="O51" s="24"/>
      <c r="P51" s="26"/>
      <c r="Q51" s="26"/>
      <c r="R51" s="26"/>
      <c r="S51" s="34" t="str">
        <f>IF(OR($C51="",$P51=""),"",MAX(0,ROUND(($P51-$C51)*1440,0)))</f>
        <v/>
      </c>
      <c r="T51" s="34" t="str">
        <f>IF(OR($P51="",$Q51=""),"",MAX(0,ROUND(($Q51-$P51)*1440,0)))</f>
        <v/>
      </c>
      <c r="U51" s="34" t="str">
        <f>IF(OR($Q51="",$R51=""),"",MAX(0,ROUND(($R51-$Q51)*1440,0)))</f>
        <v/>
      </c>
      <c r="V51" s="35" t="str">
        <f>IF($A51="","",IF($O51="No-show","Sim","Não"))</f>
        <v/>
      </c>
      <c r="W51" s="32"/>
    </row>
    <row r="52" spans="1:23" x14ac:dyDescent="0.25">
      <c r="A52" s="24"/>
      <c r="B52" s="25"/>
      <c r="C52" s="26"/>
      <c r="D52" s="24"/>
      <c r="E52" s="24"/>
      <c r="F52" s="24"/>
      <c r="G52" s="24"/>
      <c r="H52" s="24"/>
      <c r="I52" s="24"/>
      <c r="J52" s="27"/>
      <c r="K52" s="24"/>
      <c r="L52" s="24"/>
      <c r="M52" s="24"/>
      <c r="N52" s="24"/>
      <c r="O52" s="24"/>
      <c r="P52" s="26"/>
      <c r="Q52" s="26"/>
      <c r="R52" s="26"/>
      <c r="S52" s="34" t="str">
        <f>IF(OR($C52="",$P52=""),"",MAX(0,ROUND(($P52-$C52)*1440,0)))</f>
        <v/>
      </c>
      <c r="T52" s="34" t="str">
        <f>IF(OR($P52="",$Q52=""),"",MAX(0,ROUND(($Q52-$P52)*1440,0)))</f>
        <v/>
      </c>
      <c r="U52" s="34" t="str">
        <f>IF(OR($Q52="",$R52=""),"",MAX(0,ROUND(($R52-$Q52)*1440,0)))</f>
        <v/>
      </c>
      <c r="V52" s="35" t="str">
        <f>IF($A52="","",IF($O52="No-show","Sim","Não"))</f>
        <v/>
      </c>
      <c r="W52" s="32"/>
    </row>
    <row r="53" spans="1:23" x14ac:dyDescent="0.25">
      <c r="A53" s="24"/>
      <c r="B53" s="25"/>
      <c r="C53" s="26"/>
      <c r="D53" s="24"/>
      <c r="E53" s="24"/>
      <c r="F53" s="24"/>
      <c r="G53" s="24"/>
      <c r="H53" s="24"/>
      <c r="I53" s="24"/>
      <c r="J53" s="27"/>
      <c r="K53" s="24"/>
      <c r="L53" s="24"/>
      <c r="M53" s="24"/>
      <c r="N53" s="24"/>
      <c r="O53" s="24"/>
      <c r="P53" s="26"/>
      <c r="Q53" s="26"/>
      <c r="R53" s="26"/>
      <c r="S53" s="34" t="str">
        <f>IF(OR($C53="",$P53=""),"",MAX(0,ROUND(($P53-$C53)*1440,0)))</f>
        <v/>
      </c>
      <c r="T53" s="34" t="str">
        <f>IF(OR($P53="",$Q53=""),"",MAX(0,ROUND(($Q53-$P53)*1440,0)))</f>
        <v/>
      </c>
      <c r="U53" s="34" t="str">
        <f>IF(OR($Q53="",$R53=""),"",MAX(0,ROUND(($R53-$Q53)*1440,0)))</f>
        <v/>
      </c>
      <c r="V53" s="35" t="str">
        <f>IF($A53="","",IF($O53="No-show","Sim","Não"))</f>
        <v/>
      </c>
      <c r="W53" s="32"/>
    </row>
    <row r="54" spans="1:23" x14ac:dyDescent="0.25">
      <c r="A54" s="24"/>
      <c r="B54" s="25"/>
      <c r="C54" s="26"/>
      <c r="D54" s="24"/>
      <c r="E54" s="24"/>
      <c r="F54" s="24"/>
      <c r="G54" s="24"/>
      <c r="H54" s="24"/>
      <c r="I54" s="24"/>
      <c r="J54" s="27"/>
      <c r="K54" s="24"/>
      <c r="L54" s="24"/>
      <c r="M54" s="24"/>
      <c r="N54" s="24"/>
      <c r="O54" s="24"/>
      <c r="P54" s="26"/>
      <c r="Q54" s="26"/>
      <c r="R54" s="26"/>
      <c r="S54" s="34" t="str">
        <f>IF(OR($C54="",$P54=""),"",MAX(0,ROUND(($P54-$C54)*1440,0)))</f>
        <v/>
      </c>
      <c r="T54" s="34" t="str">
        <f>IF(OR($P54="",$Q54=""),"",MAX(0,ROUND(($Q54-$P54)*1440,0)))</f>
        <v/>
      </c>
      <c r="U54" s="34" t="str">
        <f>IF(OR($Q54="",$R54=""),"",MAX(0,ROUND(($R54-$Q54)*1440,0)))</f>
        <v/>
      </c>
      <c r="V54" s="35" t="str">
        <f>IF($A54="","",IF($O54="No-show","Sim","Não"))</f>
        <v/>
      </c>
      <c r="W54" s="32"/>
    </row>
    <row r="55" spans="1:23" x14ac:dyDescent="0.25">
      <c r="A55" s="24"/>
      <c r="B55" s="25"/>
      <c r="C55" s="26"/>
      <c r="D55" s="24"/>
      <c r="E55" s="24"/>
      <c r="F55" s="24"/>
      <c r="G55" s="24"/>
      <c r="H55" s="24"/>
      <c r="I55" s="24"/>
      <c r="J55" s="27"/>
      <c r="K55" s="24"/>
      <c r="L55" s="24"/>
      <c r="M55" s="24"/>
      <c r="N55" s="24"/>
      <c r="O55" s="24"/>
      <c r="P55" s="26"/>
      <c r="Q55" s="26"/>
      <c r="R55" s="26"/>
      <c r="S55" s="34" t="str">
        <f>IF(OR($C55="",$P55=""),"",MAX(0,ROUND(($P55-$C55)*1440,0)))</f>
        <v/>
      </c>
      <c r="T55" s="34" t="str">
        <f>IF(OR($P55="",$Q55=""),"",MAX(0,ROUND(($Q55-$P55)*1440,0)))</f>
        <v/>
      </c>
      <c r="U55" s="34" t="str">
        <f>IF(OR($Q55="",$R55=""),"",MAX(0,ROUND(($R55-$Q55)*1440,0)))</f>
        <v/>
      </c>
      <c r="V55" s="35" t="str">
        <f>IF($A55="","",IF($O55="No-show","Sim","Não"))</f>
        <v/>
      </c>
      <c r="W55" s="32"/>
    </row>
    <row r="56" spans="1:23" x14ac:dyDescent="0.25">
      <c r="A56" s="24"/>
      <c r="B56" s="25"/>
      <c r="C56" s="26"/>
      <c r="D56" s="24"/>
      <c r="E56" s="24"/>
      <c r="F56" s="24"/>
      <c r="G56" s="24"/>
      <c r="H56" s="24"/>
      <c r="I56" s="24"/>
      <c r="J56" s="27"/>
      <c r="K56" s="24"/>
      <c r="L56" s="24"/>
      <c r="M56" s="24"/>
      <c r="N56" s="24"/>
      <c r="O56" s="24"/>
      <c r="P56" s="26"/>
      <c r="Q56" s="26"/>
      <c r="R56" s="26"/>
      <c r="S56" s="34" t="str">
        <f>IF(OR($C56="",$P56=""),"",MAX(0,ROUND(($P56-$C56)*1440,0)))</f>
        <v/>
      </c>
      <c r="T56" s="34" t="str">
        <f>IF(OR($P56="",$Q56=""),"",MAX(0,ROUND(($Q56-$P56)*1440,0)))</f>
        <v/>
      </c>
      <c r="U56" s="34" t="str">
        <f>IF(OR($Q56="",$R56=""),"",MAX(0,ROUND(($R56-$Q56)*1440,0)))</f>
        <v/>
      </c>
      <c r="V56" s="35" t="str">
        <f>IF($A56="","",IF($O56="No-show","Sim","Não"))</f>
        <v/>
      </c>
      <c r="W56" s="32"/>
    </row>
    <row r="57" spans="1:23" x14ac:dyDescent="0.25">
      <c r="A57" s="24"/>
      <c r="B57" s="25"/>
      <c r="C57" s="26"/>
      <c r="D57" s="24"/>
      <c r="E57" s="24"/>
      <c r="F57" s="24"/>
      <c r="G57" s="24"/>
      <c r="H57" s="24"/>
      <c r="I57" s="24"/>
      <c r="J57" s="27"/>
      <c r="K57" s="24"/>
      <c r="L57" s="24"/>
      <c r="M57" s="24"/>
      <c r="N57" s="24"/>
      <c r="O57" s="24"/>
      <c r="P57" s="26"/>
      <c r="Q57" s="26"/>
      <c r="R57" s="26"/>
      <c r="S57" s="34" t="str">
        <f>IF(OR($C57="",$P57=""),"",MAX(0,ROUND(($P57-$C57)*1440,0)))</f>
        <v/>
      </c>
      <c r="T57" s="34" t="str">
        <f>IF(OR($P57="",$Q57=""),"",MAX(0,ROUND(($Q57-$P57)*1440,0)))</f>
        <v/>
      </c>
      <c r="U57" s="34" t="str">
        <f>IF(OR($Q57="",$R57=""),"",MAX(0,ROUND(($R57-$Q57)*1440,0)))</f>
        <v/>
      </c>
      <c r="V57" s="35" t="str">
        <f>IF($A57="","",IF($O57="No-show","Sim","Não"))</f>
        <v/>
      </c>
      <c r="W57" s="32"/>
    </row>
    <row r="58" spans="1:23" x14ac:dyDescent="0.25">
      <c r="A58" s="24"/>
      <c r="B58" s="25"/>
      <c r="C58" s="26"/>
      <c r="D58" s="24"/>
      <c r="E58" s="24"/>
      <c r="F58" s="24"/>
      <c r="G58" s="24"/>
      <c r="H58" s="24"/>
      <c r="I58" s="24"/>
      <c r="J58" s="27"/>
      <c r="K58" s="24"/>
      <c r="L58" s="24"/>
      <c r="M58" s="24"/>
      <c r="N58" s="24"/>
      <c r="O58" s="24"/>
      <c r="P58" s="26"/>
      <c r="Q58" s="26"/>
      <c r="R58" s="26"/>
      <c r="S58" s="34" t="str">
        <f>IF(OR($C58="",$P58=""),"",MAX(0,ROUND(($P58-$C58)*1440,0)))</f>
        <v/>
      </c>
      <c r="T58" s="34" t="str">
        <f>IF(OR($P58="",$Q58=""),"",MAX(0,ROUND(($Q58-$P58)*1440,0)))</f>
        <v/>
      </c>
      <c r="U58" s="34" t="str">
        <f>IF(OR($Q58="",$R58=""),"",MAX(0,ROUND(($R58-$Q58)*1440,0)))</f>
        <v/>
      </c>
      <c r="V58" s="35" t="str">
        <f>IF($A58="","",IF($O58="No-show","Sim","Não"))</f>
        <v/>
      </c>
      <c r="W58" s="32"/>
    </row>
    <row r="59" spans="1:23" x14ac:dyDescent="0.25">
      <c r="A59" s="24"/>
      <c r="B59" s="25"/>
      <c r="C59" s="26"/>
      <c r="D59" s="24"/>
      <c r="E59" s="24"/>
      <c r="F59" s="24"/>
      <c r="G59" s="24"/>
      <c r="H59" s="24"/>
      <c r="I59" s="24"/>
      <c r="J59" s="27"/>
      <c r="K59" s="24"/>
      <c r="L59" s="24"/>
      <c r="M59" s="24"/>
      <c r="N59" s="24"/>
      <c r="O59" s="24"/>
      <c r="P59" s="26"/>
      <c r="Q59" s="26"/>
      <c r="R59" s="26"/>
      <c r="S59" s="34" t="str">
        <f>IF(OR($C59="",$P59=""),"",MAX(0,ROUND(($P59-$C59)*1440,0)))</f>
        <v/>
      </c>
      <c r="T59" s="34" t="str">
        <f>IF(OR($P59="",$Q59=""),"",MAX(0,ROUND(($Q59-$P59)*1440,0)))</f>
        <v/>
      </c>
      <c r="U59" s="34" t="str">
        <f>IF(OR($Q59="",$R59=""),"",MAX(0,ROUND(($R59-$Q59)*1440,0)))</f>
        <v/>
      </c>
      <c r="V59" s="35" t="str">
        <f>IF($A59="","",IF($O59="No-show","Sim","Não"))</f>
        <v/>
      </c>
      <c r="W59" s="32"/>
    </row>
    <row r="60" spans="1:23" x14ac:dyDescent="0.25">
      <c r="A60" s="24"/>
      <c r="B60" s="25"/>
      <c r="C60" s="26"/>
      <c r="D60" s="24"/>
      <c r="E60" s="24"/>
      <c r="F60" s="24"/>
      <c r="G60" s="24"/>
      <c r="H60" s="24"/>
      <c r="I60" s="24"/>
      <c r="J60" s="27"/>
      <c r="K60" s="24"/>
      <c r="L60" s="24"/>
      <c r="M60" s="24"/>
      <c r="N60" s="24"/>
      <c r="O60" s="24"/>
      <c r="P60" s="26"/>
      <c r="Q60" s="26"/>
      <c r="R60" s="26"/>
      <c r="S60" s="34" t="str">
        <f>IF(OR($C60="",$P60=""),"",MAX(0,ROUND(($P60-$C60)*1440,0)))</f>
        <v/>
      </c>
      <c r="T60" s="34" t="str">
        <f>IF(OR($P60="",$Q60=""),"",MAX(0,ROUND(($Q60-$P60)*1440,0)))</f>
        <v/>
      </c>
      <c r="U60" s="34" t="str">
        <f>IF(OR($Q60="",$R60=""),"",MAX(0,ROUND(($R60-$Q60)*1440,0)))</f>
        <v/>
      </c>
      <c r="V60" s="35" t="str">
        <f>IF($A60="","",IF($O60="No-show","Sim","Não"))</f>
        <v/>
      </c>
      <c r="W60" s="32"/>
    </row>
    <row r="61" spans="1:23" x14ac:dyDescent="0.25">
      <c r="A61" s="24"/>
      <c r="B61" s="25"/>
      <c r="C61" s="26"/>
      <c r="D61" s="24"/>
      <c r="E61" s="24"/>
      <c r="F61" s="24"/>
      <c r="G61" s="24"/>
      <c r="H61" s="24"/>
      <c r="I61" s="24"/>
      <c r="J61" s="27"/>
      <c r="K61" s="24"/>
      <c r="L61" s="24"/>
      <c r="M61" s="24"/>
      <c r="N61" s="24"/>
      <c r="O61" s="24"/>
      <c r="P61" s="26"/>
      <c r="Q61" s="26"/>
      <c r="R61" s="26"/>
      <c r="S61" s="34" t="str">
        <f>IF(OR($C61="",$P61=""),"",MAX(0,ROUND(($P61-$C61)*1440,0)))</f>
        <v/>
      </c>
      <c r="T61" s="34" t="str">
        <f>IF(OR($P61="",$Q61=""),"",MAX(0,ROUND(($Q61-$P61)*1440,0)))</f>
        <v/>
      </c>
      <c r="U61" s="34" t="str">
        <f>IF(OR($Q61="",$R61=""),"",MAX(0,ROUND(($R61-$Q61)*1440,0)))</f>
        <v/>
      </c>
      <c r="V61" s="35" t="str">
        <f>IF($A61="","",IF($O61="No-show","Sim","Não"))</f>
        <v/>
      </c>
      <c r="W61" s="32"/>
    </row>
    <row r="62" spans="1:23" x14ac:dyDescent="0.25">
      <c r="A62" s="24"/>
      <c r="B62" s="25"/>
      <c r="C62" s="26"/>
      <c r="D62" s="24"/>
      <c r="E62" s="24"/>
      <c r="F62" s="24"/>
      <c r="G62" s="24"/>
      <c r="H62" s="24"/>
      <c r="I62" s="24"/>
      <c r="J62" s="27"/>
      <c r="K62" s="24"/>
      <c r="L62" s="24"/>
      <c r="M62" s="24"/>
      <c r="N62" s="24"/>
      <c r="O62" s="24"/>
      <c r="P62" s="26"/>
      <c r="Q62" s="26"/>
      <c r="R62" s="26"/>
      <c r="S62" s="34" t="str">
        <f>IF(OR($C62="",$P62=""),"",MAX(0,ROUND(($P62-$C62)*1440,0)))</f>
        <v/>
      </c>
      <c r="T62" s="34" t="str">
        <f>IF(OR($P62="",$Q62=""),"",MAX(0,ROUND(($Q62-$P62)*1440,0)))</f>
        <v/>
      </c>
      <c r="U62" s="34" t="str">
        <f>IF(OR($Q62="",$R62=""),"",MAX(0,ROUND(($R62-$Q62)*1440,0)))</f>
        <v/>
      </c>
      <c r="V62" s="35" t="str">
        <f>IF($A62="","",IF($O62="No-show","Sim","Não"))</f>
        <v/>
      </c>
      <c r="W62" s="32"/>
    </row>
    <row r="63" spans="1:23" x14ac:dyDescent="0.25">
      <c r="A63" s="24"/>
      <c r="B63" s="25"/>
      <c r="C63" s="26"/>
      <c r="D63" s="24"/>
      <c r="E63" s="24"/>
      <c r="F63" s="24"/>
      <c r="G63" s="24"/>
      <c r="H63" s="24"/>
      <c r="I63" s="24"/>
      <c r="J63" s="27"/>
      <c r="K63" s="24"/>
      <c r="L63" s="24"/>
      <c r="M63" s="24"/>
      <c r="N63" s="24"/>
      <c r="O63" s="24"/>
      <c r="P63" s="26"/>
      <c r="Q63" s="26"/>
      <c r="R63" s="26"/>
      <c r="S63" s="34" t="str">
        <f>IF(OR($C63="",$P63=""),"",MAX(0,ROUND(($P63-$C63)*1440,0)))</f>
        <v/>
      </c>
      <c r="T63" s="34" t="str">
        <f>IF(OR($P63="",$Q63=""),"",MAX(0,ROUND(($Q63-$P63)*1440,0)))</f>
        <v/>
      </c>
      <c r="U63" s="34" t="str">
        <f>IF(OR($Q63="",$R63=""),"",MAX(0,ROUND(($R63-$Q63)*1440,0)))</f>
        <v/>
      </c>
      <c r="V63" s="35" t="str">
        <f>IF($A63="","",IF($O63="No-show","Sim","Não"))</f>
        <v/>
      </c>
      <c r="W63" s="32"/>
    </row>
    <row r="64" spans="1:23" x14ac:dyDescent="0.25">
      <c r="A64" s="24"/>
      <c r="B64" s="25"/>
      <c r="C64" s="26"/>
      <c r="D64" s="24"/>
      <c r="E64" s="24"/>
      <c r="F64" s="24"/>
      <c r="G64" s="24"/>
      <c r="H64" s="24"/>
      <c r="I64" s="24"/>
      <c r="J64" s="27"/>
      <c r="K64" s="24"/>
      <c r="L64" s="24"/>
      <c r="M64" s="24"/>
      <c r="N64" s="24"/>
      <c r="O64" s="24"/>
      <c r="P64" s="26"/>
      <c r="Q64" s="26"/>
      <c r="R64" s="26"/>
      <c r="S64" s="34" t="str">
        <f>IF(OR($C64="",$P64=""),"",MAX(0,ROUND(($P64-$C64)*1440,0)))</f>
        <v/>
      </c>
      <c r="T64" s="34" t="str">
        <f>IF(OR($P64="",$Q64=""),"",MAX(0,ROUND(($Q64-$P64)*1440,0)))</f>
        <v/>
      </c>
      <c r="U64" s="34" t="str">
        <f>IF(OR($Q64="",$R64=""),"",MAX(0,ROUND(($R64-$Q64)*1440,0)))</f>
        <v/>
      </c>
      <c r="V64" s="35" t="str">
        <f>IF($A64="","",IF($O64="No-show","Sim","Não"))</f>
        <v/>
      </c>
      <c r="W64" s="32"/>
    </row>
    <row r="65" spans="1:23" x14ac:dyDescent="0.25">
      <c r="A65" s="24"/>
      <c r="B65" s="25"/>
      <c r="C65" s="26"/>
      <c r="D65" s="24"/>
      <c r="E65" s="24"/>
      <c r="F65" s="24"/>
      <c r="G65" s="24"/>
      <c r="H65" s="24"/>
      <c r="I65" s="24"/>
      <c r="J65" s="27"/>
      <c r="K65" s="24"/>
      <c r="L65" s="24"/>
      <c r="M65" s="24"/>
      <c r="N65" s="24"/>
      <c r="O65" s="24"/>
      <c r="P65" s="26"/>
      <c r="Q65" s="26"/>
      <c r="R65" s="26"/>
      <c r="S65" s="34" t="str">
        <f>IF(OR($C65="",$P65=""),"",MAX(0,ROUND(($P65-$C65)*1440,0)))</f>
        <v/>
      </c>
      <c r="T65" s="34" t="str">
        <f>IF(OR($P65="",$Q65=""),"",MAX(0,ROUND(($Q65-$P65)*1440,0)))</f>
        <v/>
      </c>
      <c r="U65" s="34" t="str">
        <f>IF(OR($Q65="",$R65=""),"",MAX(0,ROUND(($R65-$Q65)*1440,0)))</f>
        <v/>
      </c>
      <c r="V65" s="35" t="str">
        <f>IF($A65="","",IF($O65="No-show","Sim","Não"))</f>
        <v/>
      </c>
      <c r="W65" s="32"/>
    </row>
    <row r="66" spans="1:23" x14ac:dyDescent="0.25">
      <c r="A66" s="24"/>
      <c r="B66" s="25"/>
      <c r="C66" s="26"/>
      <c r="D66" s="24"/>
      <c r="E66" s="24"/>
      <c r="F66" s="24"/>
      <c r="G66" s="24"/>
      <c r="H66" s="24"/>
      <c r="I66" s="24"/>
      <c r="J66" s="27"/>
      <c r="K66" s="24"/>
      <c r="L66" s="24"/>
      <c r="M66" s="24"/>
      <c r="N66" s="24"/>
      <c r="O66" s="24"/>
      <c r="P66" s="26"/>
      <c r="Q66" s="26"/>
      <c r="R66" s="26"/>
      <c r="S66" s="34" t="str">
        <f>IF(OR($C66="",$P66=""),"",MAX(0,ROUND(($P66-$C66)*1440,0)))</f>
        <v/>
      </c>
      <c r="T66" s="34" t="str">
        <f>IF(OR($P66="",$Q66=""),"",MAX(0,ROUND(($Q66-$P66)*1440,0)))</f>
        <v/>
      </c>
      <c r="U66" s="34" t="str">
        <f>IF(OR($Q66="",$R66=""),"",MAX(0,ROUND(($R66-$Q66)*1440,0)))</f>
        <v/>
      </c>
      <c r="V66" s="35" t="str">
        <f>IF($A66="","",IF($O66="No-show","Sim","Não"))</f>
        <v/>
      </c>
      <c r="W66" s="32"/>
    </row>
    <row r="67" spans="1:23" x14ac:dyDescent="0.25">
      <c r="A67" s="24"/>
      <c r="B67" s="25"/>
      <c r="C67" s="26"/>
      <c r="D67" s="24"/>
      <c r="E67" s="24"/>
      <c r="F67" s="24"/>
      <c r="G67" s="24"/>
      <c r="H67" s="24"/>
      <c r="I67" s="24"/>
      <c r="J67" s="27"/>
      <c r="K67" s="24"/>
      <c r="L67" s="24"/>
      <c r="M67" s="24"/>
      <c r="N67" s="24"/>
      <c r="O67" s="24"/>
      <c r="P67" s="26"/>
      <c r="Q67" s="26"/>
      <c r="R67" s="26"/>
      <c r="S67" s="34" t="str">
        <f>IF(OR($C67="",$P67=""),"",MAX(0,ROUND(($P67-$C67)*1440,0)))</f>
        <v/>
      </c>
      <c r="T67" s="34" t="str">
        <f>IF(OR($P67="",$Q67=""),"",MAX(0,ROUND(($Q67-$P67)*1440,0)))</f>
        <v/>
      </c>
      <c r="U67" s="34" t="str">
        <f>IF(OR($Q67="",$R67=""),"",MAX(0,ROUND(($R67-$Q67)*1440,0)))</f>
        <v/>
      </c>
      <c r="V67" s="35" t="str">
        <f>IF($A67="","",IF($O67="No-show","Sim","Não"))</f>
        <v/>
      </c>
      <c r="W67" s="32"/>
    </row>
    <row r="68" spans="1:23" x14ac:dyDescent="0.25">
      <c r="A68" s="24"/>
      <c r="B68" s="25"/>
      <c r="C68" s="26"/>
      <c r="D68" s="24"/>
      <c r="E68" s="24"/>
      <c r="F68" s="24"/>
      <c r="G68" s="24"/>
      <c r="H68" s="24"/>
      <c r="I68" s="24"/>
      <c r="J68" s="27"/>
      <c r="K68" s="24"/>
      <c r="L68" s="24"/>
      <c r="M68" s="24"/>
      <c r="N68" s="24"/>
      <c r="O68" s="24"/>
      <c r="P68" s="26"/>
      <c r="Q68" s="26"/>
      <c r="R68" s="26"/>
      <c r="S68" s="34" t="str">
        <f>IF(OR($C68="",$P68=""),"",MAX(0,ROUND(($P68-$C68)*1440,0)))</f>
        <v/>
      </c>
      <c r="T68" s="34" t="str">
        <f>IF(OR($P68="",$Q68=""),"",MAX(0,ROUND(($Q68-$P68)*1440,0)))</f>
        <v/>
      </c>
      <c r="U68" s="34" t="str">
        <f>IF(OR($Q68="",$R68=""),"",MAX(0,ROUND(($R68-$Q68)*1440,0)))</f>
        <v/>
      </c>
      <c r="V68" s="35" t="str">
        <f>IF($A68="","",IF($O68="No-show","Sim","Não"))</f>
        <v/>
      </c>
      <c r="W68" s="32"/>
    </row>
    <row r="69" spans="1:23" x14ac:dyDescent="0.25">
      <c r="A69" s="24"/>
      <c r="B69" s="25"/>
      <c r="C69" s="26"/>
      <c r="D69" s="24"/>
      <c r="E69" s="24"/>
      <c r="F69" s="24"/>
      <c r="G69" s="24"/>
      <c r="H69" s="24"/>
      <c r="I69" s="24"/>
      <c r="J69" s="27"/>
      <c r="K69" s="24"/>
      <c r="L69" s="24"/>
      <c r="M69" s="24"/>
      <c r="N69" s="24"/>
      <c r="O69" s="24"/>
      <c r="P69" s="26"/>
      <c r="Q69" s="26"/>
      <c r="R69" s="26"/>
      <c r="S69" s="34" t="str">
        <f>IF(OR($C69="",$P69=""),"",MAX(0,ROUND(($P69-$C69)*1440,0)))</f>
        <v/>
      </c>
      <c r="T69" s="34" t="str">
        <f>IF(OR($P69="",$Q69=""),"",MAX(0,ROUND(($Q69-$P69)*1440,0)))</f>
        <v/>
      </c>
      <c r="U69" s="34" t="str">
        <f>IF(OR($Q69="",$R69=""),"",MAX(0,ROUND(($R69-$Q69)*1440,0)))</f>
        <v/>
      </c>
      <c r="V69" s="35" t="str">
        <f>IF($A69="","",IF($O69="No-show","Sim","Não"))</f>
        <v/>
      </c>
      <c r="W69" s="32"/>
    </row>
    <row r="70" spans="1:23" x14ac:dyDescent="0.25">
      <c r="A70" s="24"/>
      <c r="B70" s="25"/>
      <c r="C70" s="26"/>
      <c r="D70" s="24"/>
      <c r="E70" s="24"/>
      <c r="F70" s="24"/>
      <c r="G70" s="24"/>
      <c r="H70" s="24"/>
      <c r="I70" s="24"/>
      <c r="J70" s="27"/>
      <c r="K70" s="24"/>
      <c r="L70" s="24"/>
      <c r="M70" s="24"/>
      <c r="N70" s="24"/>
      <c r="O70" s="24"/>
      <c r="P70" s="26"/>
      <c r="Q70" s="26"/>
      <c r="R70" s="26"/>
      <c r="S70" s="34" t="str">
        <f>IF(OR($C70="",$P70=""),"",MAX(0,ROUND(($P70-$C70)*1440,0)))</f>
        <v/>
      </c>
      <c r="T70" s="34" t="str">
        <f>IF(OR($P70="",$Q70=""),"",MAX(0,ROUND(($Q70-$P70)*1440,0)))</f>
        <v/>
      </c>
      <c r="U70" s="34" t="str">
        <f>IF(OR($Q70="",$R70=""),"",MAX(0,ROUND(($R70-$Q70)*1440,0)))</f>
        <v/>
      </c>
      <c r="V70" s="35" t="str">
        <f>IF($A70="","",IF($O70="No-show","Sim","Não"))</f>
        <v/>
      </c>
      <c r="W70" s="32"/>
    </row>
    <row r="71" spans="1:23" x14ac:dyDescent="0.25">
      <c r="A71" s="24"/>
      <c r="B71" s="25"/>
      <c r="C71" s="26"/>
      <c r="D71" s="24"/>
      <c r="E71" s="24"/>
      <c r="F71" s="24"/>
      <c r="G71" s="24"/>
      <c r="H71" s="24"/>
      <c r="I71" s="24"/>
      <c r="J71" s="27"/>
      <c r="K71" s="24"/>
      <c r="L71" s="24"/>
      <c r="M71" s="24"/>
      <c r="N71" s="24"/>
      <c r="O71" s="24"/>
      <c r="P71" s="26"/>
      <c r="Q71" s="26"/>
      <c r="R71" s="26"/>
      <c r="S71" s="34" t="str">
        <f>IF(OR($C71="",$P71=""),"",MAX(0,ROUND(($P71-$C71)*1440,0)))</f>
        <v/>
      </c>
      <c r="T71" s="34" t="str">
        <f>IF(OR($P71="",$Q71=""),"",MAX(0,ROUND(($Q71-$P71)*1440,0)))</f>
        <v/>
      </c>
      <c r="U71" s="34" t="str">
        <f>IF(OR($Q71="",$R71=""),"",MAX(0,ROUND(($R71-$Q71)*1440,0)))</f>
        <v/>
      </c>
      <c r="V71" s="35" t="str">
        <f>IF($A71="","",IF($O71="No-show","Sim","Não"))</f>
        <v/>
      </c>
      <c r="W71" s="32"/>
    </row>
    <row r="72" spans="1:23" x14ac:dyDescent="0.25">
      <c r="A72" s="24"/>
      <c r="B72" s="25"/>
      <c r="C72" s="26"/>
      <c r="D72" s="24"/>
      <c r="E72" s="24"/>
      <c r="F72" s="24"/>
      <c r="G72" s="24"/>
      <c r="H72" s="24"/>
      <c r="I72" s="24"/>
      <c r="J72" s="27"/>
      <c r="K72" s="24"/>
      <c r="L72" s="24"/>
      <c r="M72" s="24"/>
      <c r="N72" s="24"/>
      <c r="O72" s="24"/>
      <c r="P72" s="26"/>
      <c r="Q72" s="26"/>
      <c r="R72" s="26"/>
      <c r="S72" s="34" t="str">
        <f>IF(OR($C72="",$P72=""),"",MAX(0,ROUND(($P72-$C72)*1440,0)))</f>
        <v/>
      </c>
      <c r="T72" s="34" t="str">
        <f>IF(OR($P72="",$Q72=""),"",MAX(0,ROUND(($Q72-$P72)*1440,0)))</f>
        <v/>
      </c>
      <c r="U72" s="34" t="str">
        <f>IF(OR($Q72="",$R72=""),"",MAX(0,ROUND(($R72-$Q72)*1440,0)))</f>
        <v/>
      </c>
      <c r="V72" s="35" t="str">
        <f>IF($A72="","",IF($O72="No-show","Sim","Não"))</f>
        <v/>
      </c>
      <c r="W72" s="32"/>
    </row>
    <row r="73" spans="1:23" x14ac:dyDescent="0.25">
      <c r="A73" s="24"/>
      <c r="B73" s="25"/>
      <c r="C73" s="26"/>
      <c r="D73" s="24"/>
      <c r="E73" s="24"/>
      <c r="F73" s="24"/>
      <c r="G73" s="24"/>
      <c r="H73" s="24"/>
      <c r="I73" s="24"/>
      <c r="J73" s="27"/>
      <c r="K73" s="24"/>
      <c r="L73" s="24"/>
      <c r="M73" s="24"/>
      <c r="N73" s="24"/>
      <c r="O73" s="24"/>
      <c r="P73" s="26"/>
      <c r="Q73" s="26"/>
      <c r="R73" s="26"/>
      <c r="S73" s="34" t="str">
        <f>IF(OR($C73="",$P73=""),"",MAX(0,ROUND(($P73-$C73)*1440,0)))</f>
        <v/>
      </c>
      <c r="T73" s="34" t="str">
        <f>IF(OR($P73="",$Q73=""),"",MAX(0,ROUND(($Q73-$P73)*1440,0)))</f>
        <v/>
      </c>
      <c r="U73" s="34" t="str">
        <f>IF(OR($Q73="",$R73=""),"",MAX(0,ROUND(($R73-$Q73)*1440,0)))</f>
        <v/>
      </c>
      <c r="V73" s="35" t="str">
        <f>IF($A73="","",IF($O73="No-show","Sim","Não"))</f>
        <v/>
      </c>
      <c r="W73" s="32"/>
    </row>
    <row r="74" spans="1:23" x14ac:dyDescent="0.25">
      <c r="A74" s="24"/>
      <c r="B74" s="25"/>
      <c r="C74" s="26"/>
      <c r="D74" s="24"/>
      <c r="E74" s="24"/>
      <c r="F74" s="24"/>
      <c r="G74" s="24"/>
      <c r="H74" s="24"/>
      <c r="I74" s="24"/>
      <c r="J74" s="27"/>
      <c r="K74" s="24"/>
      <c r="L74" s="24"/>
      <c r="M74" s="24"/>
      <c r="N74" s="24"/>
      <c r="O74" s="24"/>
      <c r="P74" s="26"/>
      <c r="Q74" s="26"/>
      <c r="R74" s="26"/>
      <c r="S74" s="34" t="str">
        <f>IF(OR($C74="",$P74=""),"",MAX(0,ROUND(($P74-$C74)*1440,0)))</f>
        <v/>
      </c>
      <c r="T74" s="34" t="str">
        <f>IF(OR($P74="",$Q74=""),"",MAX(0,ROUND(($Q74-$P74)*1440,0)))</f>
        <v/>
      </c>
      <c r="U74" s="34" t="str">
        <f>IF(OR($Q74="",$R74=""),"",MAX(0,ROUND(($R74-$Q74)*1440,0)))</f>
        <v/>
      </c>
      <c r="V74" s="35" t="str">
        <f>IF($A74="","",IF($O74="No-show","Sim","Não"))</f>
        <v/>
      </c>
      <c r="W74" s="32"/>
    </row>
    <row r="75" spans="1:23" x14ac:dyDescent="0.25">
      <c r="A75" s="24"/>
      <c r="B75" s="25"/>
      <c r="C75" s="26"/>
      <c r="D75" s="24"/>
      <c r="E75" s="24"/>
      <c r="F75" s="24"/>
      <c r="G75" s="24"/>
      <c r="H75" s="24"/>
      <c r="I75" s="24"/>
      <c r="J75" s="27"/>
      <c r="K75" s="24"/>
      <c r="L75" s="24"/>
      <c r="M75" s="24"/>
      <c r="N75" s="24"/>
      <c r="O75" s="24"/>
      <c r="P75" s="26"/>
      <c r="Q75" s="26"/>
      <c r="R75" s="26"/>
      <c r="S75" s="34" t="str">
        <f>IF(OR($C75="",$P75=""),"",MAX(0,ROUND(($P75-$C75)*1440,0)))</f>
        <v/>
      </c>
      <c r="T75" s="34" t="str">
        <f>IF(OR($P75="",$Q75=""),"",MAX(0,ROUND(($Q75-$P75)*1440,0)))</f>
        <v/>
      </c>
      <c r="U75" s="34" t="str">
        <f>IF(OR($Q75="",$R75=""),"",MAX(0,ROUND(($R75-$Q75)*1440,0)))</f>
        <v/>
      </c>
      <c r="V75" s="35" t="str">
        <f>IF($A75="","",IF($O75="No-show","Sim","Não"))</f>
        <v/>
      </c>
      <c r="W75" s="32"/>
    </row>
    <row r="76" spans="1:23" x14ac:dyDescent="0.25">
      <c r="A76" s="24"/>
      <c r="B76" s="25"/>
      <c r="C76" s="26"/>
      <c r="D76" s="24"/>
      <c r="E76" s="24"/>
      <c r="F76" s="24"/>
      <c r="G76" s="24"/>
      <c r="H76" s="24"/>
      <c r="I76" s="24"/>
      <c r="J76" s="27"/>
      <c r="K76" s="24"/>
      <c r="L76" s="24"/>
      <c r="M76" s="24"/>
      <c r="N76" s="24"/>
      <c r="O76" s="24"/>
      <c r="P76" s="26"/>
      <c r="Q76" s="26"/>
      <c r="R76" s="26"/>
      <c r="S76" s="34" t="str">
        <f>IF(OR($C76="",$P76=""),"",MAX(0,ROUND(($P76-$C76)*1440,0)))</f>
        <v/>
      </c>
      <c r="T76" s="34" t="str">
        <f>IF(OR($P76="",$Q76=""),"",MAX(0,ROUND(($Q76-$P76)*1440,0)))</f>
        <v/>
      </c>
      <c r="U76" s="34" t="str">
        <f>IF(OR($Q76="",$R76=""),"",MAX(0,ROUND(($R76-$Q76)*1440,0)))</f>
        <v/>
      </c>
      <c r="V76" s="35" t="str">
        <f>IF($A76="","",IF($O76="No-show","Sim","Não"))</f>
        <v/>
      </c>
      <c r="W76" s="32"/>
    </row>
    <row r="77" spans="1:23" x14ac:dyDescent="0.25">
      <c r="A77" s="24"/>
      <c r="B77" s="25"/>
      <c r="C77" s="26"/>
      <c r="D77" s="24"/>
      <c r="E77" s="24"/>
      <c r="F77" s="24"/>
      <c r="G77" s="24"/>
      <c r="H77" s="24"/>
      <c r="I77" s="24"/>
      <c r="J77" s="27"/>
      <c r="K77" s="24"/>
      <c r="L77" s="24"/>
      <c r="M77" s="24"/>
      <c r="N77" s="24"/>
      <c r="O77" s="24"/>
      <c r="P77" s="26"/>
      <c r="Q77" s="26"/>
      <c r="R77" s="26"/>
      <c r="S77" s="34" t="str">
        <f>IF(OR($C77="",$P77=""),"",MAX(0,ROUND(($P77-$C77)*1440,0)))</f>
        <v/>
      </c>
      <c r="T77" s="34" t="str">
        <f>IF(OR($P77="",$Q77=""),"",MAX(0,ROUND(($Q77-$P77)*1440,0)))</f>
        <v/>
      </c>
      <c r="U77" s="34" t="str">
        <f>IF(OR($Q77="",$R77=""),"",MAX(0,ROUND(($R77-$Q77)*1440,0)))</f>
        <v/>
      </c>
      <c r="V77" s="35" t="str">
        <f>IF($A77="","",IF($O77="No-show","Sim","Não"))</f>
        <v/>
      </c>
      <c r="W77" s="32"/>
    </row>
    <row r="78" spans="1:23" x14ac:dyDescent="0.25">
      <c r="A78" s="24"/>
      <c r="B78" s="25"/>
      <c r="C78" s="26"/>
      <c r="D78" s="24"/>
      <c r="E78" s="24"/>
      <c r="F78" s="24"/>
      <c r="G78" s="24"/>
      <c r="H78" s="24"/>
      <c r="I78" s="24"/>
      <c r="J78" s="27"/>
      <c r="K78" s="24"/>
      <c r="L78" s="24"/>
      <c r="M78" s="24"/>
      <c r="N78" s="24"/>
      <c r="O78" s="24"/>
      <c r="P78" s="26"/>
      <c r="Q78" s="26"/>
      <c r="R78" s="26"/>
      <c r="S78" s="34" t="str">
        <f>IF(OR($C78="",$P78=""),"",MAX(0,ROUND(($P78-$C78)*1440,0)))</f>
        <v/>
      </c>
      <c r="T78" s="34" t="str">
        <f>IF(OR($P78="",$Q78=""),"",MAX(0,ROUND(($Q78-$P78)*1440,0)))</f>
        <v/>
      </c>
      <c r="U78" s="34" t="str">
        <f>IF(OR($Q78="",$R78=""),"",MAX(0,ROUND(($R78-$Q78)*1440,0)))</f>
        <v/>
      </c>
      <c r="V78" s="35" t="str">
        <f>IF($A78="","",IF($O78="No-show","Sim","Não"))</f>
        <v/>
      </c>
      <c r="W78" s="32"/>
    </row>
    <row r="79" spans="1:23" x14ac:dyDescent="0.25">
      <c r="A79" s="24"/>
      <c r="B79" s="25"/>
      <c r="C79" s="26"/>
      <c r="D79" s="24"/>
      <c r="E79" s="24"/>
      <c r="F79" s="24"/>
      <c r="G79" s="24"/>
      <c r="H79" s="24"/>
      <c r="I79" s="24"/>
      <c r="J79" s="27"/>
      <c r="K79" s="24"/>
      <c r="L79" s="24"/>
      <c r="M79" s="24"/>
      <c r="N79" s="24"/>
      <c r="O79" s="24"/>
      <c r="P79" s="26"/>
      <c r="Q79" s="26"/>
      <c r="R79" s="26"/>
      <c r="S79" s="34" t="str">
        <f>IF(OR($C79="",$P79=""),"",MAX(0,ROUND(($P79-$C79)*1440,0)))</f>
        <v/>
      </c>
      <c r="T79" s="34" t="str">
        <f>IF(OR($P79="",$Q79=""),"",MAX(0,ROUND(($Q79-$P79)*1440,0)))</f>
        <v/>
      </c>
      <c r="U79" s="34" t="str">
        <f>IF(OR($Q79="",$R79=""),"",MAX(0,ROUND(($R79-$Q79)*1440,0)))</f>
        <v/>
      </c>
      <c r="V79" s="35" t="str">
        <f>IF($A79="","",IF($O79="No-show","Sim","Não"))</f>
        <v/>
      </c>
      <c r="W79" s="32"/>
    </row>
    <row r="80" spans="1:23" x14ac:dyDescent="0.25">
      <c r="A80" s="24"/>
      <c r="B80" s="25"/>
      <c r="C80" s="26"/>
      <c r="D80" s="24"/>
      <c r="E80" s="24"/>
      <c r="F80" s="24"/>
      <c r="G80" s="24"/>
      <c r="H80" s="24"/>
      <c r="I80" s="24"/>
      <c r="J80" s="27"/>
      <c r="K80" s="24"/>
      <c r="L80" s="24"/>
      <c r="M80" s="24"/>
      <c r="N80" s="24"/>
      <c r="O80" s="24"/>
      <c r="P80" s="26"/>
      <c r="Q80" s="26"/>
      <c r="R80" s="26"/>
      <c r="S80" s="34" t="str">
        <f>IF(OR($C80="",$P80=""),"",MAX(0,ROUND(($P80-$C80)*1440,0)))</f>
        <v/>
      </c>
      <c r="T80" s="34" t="str">
        <f>IF(OR($P80="",$Q80=""),"",MAX(0,ROUND(($Q80-$P80)*1440,0)))</f>
        <v/>
      </c>
      <c r="U80" s="34" t="str">
        <f>IF(OR($Q80="",$R80=""),"",MAX(0,ROUND(($R80-$Q80)*1440,0)))</f>
        <v/>
      </c>
      <c r="V80" s="35" t="str">
        <f>IF($A80="","",IF($O80="No-show","Sim","Não"))</f>
        <v/>
      </c>
      <c r="W80" s="32"/>
    </row>
    <row r="81" spans="1:23" x14ac:dyDescent="0.25">
      <c r="A81" s="24"/>
      <c r="B81" s="25"/>
      <c r="C81" s="26"/>
      <c r="D81" s="24"/>
      <c r="E81" s="24"/>
      <c r="F81" s="24"/>
      <c r="G81" s="24"/>
      <c r="H81" s="24"/>
      <c r="I81" s="24"/>
      <c r="J81" s="27"/>
      <c r="K81" s="24"/>
      <c r="L81" s="24"/>
      <c r="M81" s="24"/>
      <c r="N81" s="24"/>
      <c r="O81" s="24"/>
      <c r="P81" s="26"/>
      <c r="Q81" s="26"/>
      <c r="R81" s="26"/>
      <c r="S81" s="34" t="str">
        <f>IF(OR($C81="",$P81=""),"",MAX(0,ROUND(($P81-$C81)*1440,0)))</f>
        <v/>
      </c>
      <c r="T81" s="34" t="str">
        <f>IF(OR($P81="",$Q81=""),"",MAX(0,ROUND(($Q81-$P81)*1440,0)))</f>
        <v/>
      </c>
      <c r="U81" s="34" t="str">
        <f>IF(OR($Q81="",$R81=""),"",MAX(0,ROUND(($R81-$Q81)*1440,0)))</f>
        <v/>
      </c>
      <c r="V81" s="35" t="str">
        <f>IF($A81="","",IF($O81="No-show","Sim","Não"))</f>
        <v/>
      </c>
      <c r="W81" s="32"/>
    </row>
    <row r="82" spans="1:23" x14ac:dyDescent="0.25">
      <c r="A82" s="24"/>
      <c r="B82" s="25"/>
      <c r="C82" s="26"/>
      <c r="D82" s="24"/>
      <c r="E82" s="24"/>
      <c r="F82" s="24"/>
      <c r="G82" s="24"/>
      <c r="H82" s="24"/>
      <c r="I82" s="24"/>
      <c r="J82" s="27"/>
      <c r="K82" s="24"/>
      <c r="L82" s="24"/>
      <c r="M82" s="24"/>
      <c r="N82" s="24"/>
      <c r="O82" s="24"/>
      <c r="P82" s="26"/>
      <c r="Q82" s="26"/>
      <c r="R82" s="26"/>
      <c r="S82" s="34" t="str">
        <f>IF(OR($C82="",$P82=""),"",MAX(0,ROUND(($P82-$C82)*1440,0)))</f>
        <v/>
      </c>
      <c r="T82" s="34" t="str">
        <f>IF(OR($P82="",$Q82=""),"",MAX(0,ROUND(($Q82-$P82)*1440,0)))</f>
        <v/>
      </c>
      <c r="U82" s="34" t="str">
        <f>IF(OR($Q82="",$R82=""),"",MAX(0,ROUND(($R82-$Q82)*1440,0)))</f>
        <v/>
      </c>
      <c r="V82" s="35" t="str">
        <f>IF($A82="","",IF($O82="No-show","Sim","Não"))</f>
        <v/>
      </c>
      <c r="W82" s="32"/>
    </row>
    <row r="83" spans="1:23" x14ac:dyDescent="0.25">
      <c r="A83" s="24"/>
      <c r="B83" s="25"/>
      <c r="C83" s="26"/>
      <c r="D83" s="24"/>
      <c r="E83" s="24"/>
      <c r="F83" s="24"/>
      <c r="G83" s="24"/>
      <c r="H83" s="24"/>
      <c r="I83" s="24"/>
      <c r="J83" s="27"/>
      <c r="K83" s="24"/>
      <c r="L83" s="24"/>
      <c r="M83" s="24"/>
      <c r="N83" s="24"/>
      <c r="O83" s="24"/>
      <c r="P83" s="26"/>
      <c r="Q83" s="26"/>
      <c r="R83" s="26"/>
      <c r="S83" s="34" t="str">
        <f>IF(OR($C83="",$P83=""),"",MAX(0,ROUND(($P83-$C83)*1440,0)))</f>
        <v/>
      </c>
      <c r="T83" s="34" t="str">
        <f>IF(OR($P83="",$Q83=""),"",MAX(0,ROUND(($Q83-$P83)*1440,0)))</f>
        <v/>
      </c>
      <c r="U83" s="34" t="str">
        <f>IF(OR($Q83="",$R83=""),"",MAX(0,ROUND(($R83-$Q83)*1440,0)))</f>
        <v/>
      </c>
      <c r="V83" s="35" t="str">
        <f>IF($A83="","",IF($O83="No-show","Sim","Não"))</f>
        <v/>
      </c>
      <c r="W83" s="32"/>
    </row>
    <row r="84" spans="1:23" x14ac:dyDescent="0.25">
      <c r="A84" s="24"/>
      <c r="B84" s="25"/>
      <c r="C84" s="26"/>
      <c r="D84" s="24"/>
      <c r="E84" s="24"/>
      <c r="F84" s="24"/>
      <c r="G84" s="24"/>
      <c r="H84" s="24"/>
      <c r="I84" s="24"/>
      <c r="J84" s="27"/>
      <c r="K84" s="24"/>
      <c r="L84" s="24"/>
      <c r="M84" s="24"/>
      <c r="N84" s="24"/>
      <c r="O84" s="24"/>
      <c r="P84" s="26"/>
      <c r="Q84" s="26"/>
      <c r="R84" s="26"/>
      <c r="S84" s="34" t="str">
        <f>IF(OR($C84="",$P84=""),"",MAX(0,ROUND(($P84-$C84)*1440,0)))</f>
        <v/>
      </c>
      <c r="T84" s="34" t="str">
        <f>IF(OR($P84="",$Q84=""),"",MAX(0,ROUND(($Q84-$P84)*1440,0)))</f>
        <v/>
      </c>
      <c r="U84" s="34" t="str">
        <f>IF(OR($Q84="",$R84=""),"",MAX(0,ROUND(($R84-$Q84)*1440,0)))</f>
        <v/>
      </c>
      <c r="V84" s="35" t="str">
        <f>IF($A84="","",IF($O84="No-show","Sim","Não"))</f>
        <v/>
      </c>
      <c r="W84" s="32"/>
    </row>
    <row r="85" spans="1:23" x14ac:dyDescent="0.25">
      <c r="A85" s="24"/>
      <c r="B85" s="25"/>
      <c r="C85" s="26"/>
      <c r="D85" s="24"/>
      <c r="E85" s="24"/>
      <c r="F85" s="24"/>
      <c r="G85" s="24"/>
      <c r="H85" s="24"/>
      <c r="I85" s="24"/>
      <c r="J85" s="27"/>
      <c r="K85" s="24"/>
      <c r="L85" s="24"/>
      <c r="M85" s="24"/>
      <c r="N85" s="24"/>
      <c r="O85" s="24"/>
      <c r="P85" s="26"/>
      <c r="Q85" s="26"/>
      <c r="R85" s="26"/>
      <c r="S85" s="34" t="str">
        <f>IF(OR($C85="",$P85=""),"",MAX(0,ROUND(($P85-$C85)*1440,0)))</f>
        <v/>
      </c>
      <c r="T85" s="34" t="str">
        <f>IF(OR($P85="",$Q85=""),"",MAX(0,ROUND(($Q85-$P85)*1440,0)))</f>
        <v/>
      </c>
      <c r="U85" s="34" t="str">
        <f>IF(OR($Q85="",$R85=""),"",MAX(0,ROUND(($R85-$Q85)*1440,0)))</f>
        <v/>
      </c>
      <c r="V85" s="35" t="str">
        <f>IF($A85="","",IF($O85="No-show","Sim","Não"))</f>
        <v/>
      </c>
      <c r="W85" s="32"/>
    </row>
    <row r="86" spans="1:23" x14ac:dyDescent="0.25">
      <c r="A86" s="24"/>
      <c r="B86" s="25"/>
      <c r="C86" s="26"/>
      <c r="D86" s="24"/>
      <c r="E86" s="24"/>
      <c r="F86" s="24"/>
      <c r="G86" s="24"/>
      <c r="H86" s="24"/>
      <c r="I86" s="24"/>
      <c r="J86" s="27"/>
      <c r="K86" s="24"/>
      <c r="L86" s="24"/>
      <c r="M86" s="24"/>
      <c r="N86" s="24"/>
      <c r="O86" s="24"/>
      <c r="P86" s="26"/>
      <c r="Q86" s="26"/>
      <c r="R86" s="26"/>
      <c r="S86" s="34" t="str">
        <f>IF(OR($C86="",$P86=""),"",MAX(0,ROUND(($P86-$C86)*1440,0)))</f>
        <v/>
      </c>
      <c r="T86" s="34" t="str">
        <f>IF(OR($P86="",$Q86=""),"",MAX(0,ROUND(($Q86-$P86)*1440,0)))</f>
        <v/>
      </c>
      <c r="U86" s="34" t="str">
        <f>IF(OR($Q86="",$R86=""),"",MAX(0,ROUND(($R86-$Q86)*1440,0)))</f>
        <v/>
      </c>
      <c r="V86" s="35" t="str">
        <f>IF($A86="","",IF($O86="No-show","Sim","Não"))</f>
        <v/>
      </c>
      <c r="W86" s="32"/>
    </row>
    <row r="87" spans="1:23" x14ac:dyDescent="0.25">
      <c r="A87" s="24"/>
      <c r="B87" s="25"/>
      <c r="C87" s="26"/>
      <c r="D87" s="24"/>
      <c r="E87" s="24"/>
      <c r="F87" s="24"/>
      <c r="G87" s="24"/>
      <c r="H87" s="24"/>
      <c r="I87" s="24"/>
      <c r="J87" s="27"/>
      <c r="K87" s="24"/>
      <c r="L87" s="24"/>
      <c r="M87" s="24"/>
      <c r="N87" s="24"/>
      <c r="O87" s="24"/>
      <c r="P87" s="26"/>
      <c r="Q87" s="26"/>
      <c r="R87" s="26"/>
      <c r="S87" s="34" t="str">
        <f>IF(OR($C87="",$P87=""),"",MAX(0,ROUND(($P87-$C87)*1440,0)))</f>
        <v/>
      </c>
      <c r="T87" s="34" t="str">
        <f>IF(OR($P87="",$Q87=""),"",MAX(0,ROUND(($Q87-$P87)*1440,0)))</f>
        <v/>
      </c>
      <c r="U87" s="34" t="str">
        <f>IF(OR($Q87="",$R87=""),"",MAX(0,ROUND(($R87-$Q87)*1440,0)))</f>
        <v/>
      </c>
      <c r="V87" s="35" t="str">
        <f>IF($A87="","",IF($O87="No-show","Sim","Não"))</f>
        <v/>
      </c>
      <c r="W87" s="32"/>
    </row>
    <row r="88" spans="1:23" x14ac:dyDescent="0.25">
      <c r="A88" s="24"/>
      <c r="B88" s="25"/>
      <c r="C88" s="26"/>
      <c r="D88" s="24"/>
      <c r="E88" s="24"/>
      <c r="F88" s="24"/>
      <c r="G88" s="24"/>
      <c r="H88" s="24"/>
      <c r="I88" s="24"/>
      <c r="J88" s="27"/>
      <c r="K88" s="24"/>
      <c r="L88" s="24"/>
      <c r="M88" s="24"/>
      <c r="N88" s="24"/>
      <c r="O88" s="24"/>
      <c r="P88" s="26"/>
      <c r="Q88" s="26"/>
      <c r="R88" s="26"/>
      <c r="S88" s="34" t="str">
        <f>IF(OR($C88="",$P88=""),"",MAX(0,ROUND(($P88-$C88)*1440,0)))</f>
        <v/>
      </c>
      <c r="T88" s="34" t="str">
        <f>IF(OR($P88="",$Q88=""),"",MAX(0,ROUND(($Q88-$P88)*1440,0)))</f>
        <v/>
      </c>
      <c r="U88" s="34" t="str">
        <f>IF(OR($Q88="",$R88=""),"",MAX(0,ROUND(($R88-$Q88)*1440,0)))</f>
        <v/>
      </c>
      <c r="V88" s="35" t="str">
        <f>IF($A88="","",IF($O88="No-show","Sim","Não"))</f>
        <v/>
      </c>
      <c r="W88" s="32"/>
    </row>
    <row r="89" spans="1:23" x14ac:dyDescent="0.25">
      <c r="A89" s="24"/>
      <c r="B89" s="25"/>
      <c r="C89" s="26"/>
      <c r="D89" s="24"/>
      <c r="E89" s="24"/>
      <c r="F89" s="24"/>
      <c r="G89" s="24"/>
      <c r="H89" s="24"/>
      <c r="I89" s="24"/>
      <c r="J89" s="27"/>
      <c r="K89" s="24"/>
      <c r="L89" s="24"/>
      <c r="M89" s="24"/>
      <c r="N89" s="24"/>
      <c r="O89" s="24"/>
      <c r="P89" s="26"/>
      <c r="Q89" s="26"/>
      <c r="R89" s="26"/>
      <c r="S89" s="34" t="str">
        <f>IF(OR($C89="",$P89=""),"",MAX(0,ROUND(($P89-$C89)*1440,0)))</f>
        <v/>
      </c>
      <c r="T89" s="34" t="str">
        <f>IF(OR($P89="",$Q89=""),"",MAX(0,ROUND(($Q89-$P89)*1440,0)))</f>
        <v/>
      </c>
      <c r="U89" s="34" t="str">
        <f>IF(OR($Q89="",$R89=""),"",MAX(0,ROUND(($R89-$Q89)*1440,0)))</f>
        <v/>
      </c>
      <c r="V89" s="35" t="str">
        <f>IF($A89="","",IF($O89="No-show","Sim","Não"))</f>
        <v/>
      </c>
      <c r="W89" s="32"/>
    </row>
    <row r="90" spans="1:23" x14ac:dyDescent="0.25">
      <c r="A90" s="24"/>
      <c r="B90" s="25"/>
      <c r="C90" s="26"/>
      <c r="D90" s="24"/>
      <c r="E90" s="24"/>
      <c r="F90" s="24"/>
      <c r="G90" s="24"/>
      <c r="H90" s="24"/>
      <c r="I90" s="24"/>
      <c r="J90" s="27"/>
      <c r="K90" s="24"/>
      <c r="L90" s="24"/>
      <c r="M90" s="24"/>
      <c r="N90" s="24"/>
      <c r="O90" s="24"/>
      <c r="P90" s="26"/>
      <c r="Q90" s="26"/>
      <c r="R90" s="26"/>
      <c r="S90" s="34" t="str">
        <f>IF(OR($C90="",$P90=""),"",MAX(0,ROUND(($P90-$C90)*1440,0)))</f>
        <v/>
      </c>
      <c r="T90" s="34" t="str">
        <f>IF(OR($P90="",$Q90=""),"",MAX(0,ROUND(($Q90-$P90)*1440,0)))</f>
        <v/>
      </c>
      <c r="U90" s="34" t="str">
        <f>IF(OR($Q90="",$R90=""),"",MAX(0,ROUND(($R90-$Q90)*1440,0)))</f>
        <v/>
      </c>
      <c r="V90" s="35" t="str">
        <f>IF($A90="","",IF($O90="No-show","Sim","Não"))</f>
        <v/>
      </c>
      <c r="W90" s="32"/>
    </row>
    <row r="91" spans="1:23" x14ac:dyDescent="0.25">
      <c r="A91" s="24"/>
      <c r="B91" s="25"/>
      <c r="C91" s="26"/>
      <c r="D91" s="24"/>
      <c r="E91" s="24"/>
      <c r="F91" s="24"/>
      <c r="G91" s="24"/>
      <c r="H91" s="24"/>
      <c r="I91" s="24"/>
      <c r="J91" s="27"/>
      <c r="K91" s="24"/>
      <c r="L91" s="24"/>
      <c r="M91" s="24"/>
      <c r="N91" s="24"/>
      <c r="O91" s="24"/>
      <c r="P91" s="26"/>
      <c r="Q91" s="26"/>
      <c r="R91" s="26"/>
      <c r="S91" s="34" t="str">
        <f>IF(OR($C91="",$P91=""),"",MAX(0,ROUND(($P91-$C91)*1440,0)))</f>
        <v/>
      </c>
      <c r="T91" s="34" t="str">
        <f>IF(OR($P91="",$Q91=""),"",MAX(0,ROUND(($Q91-$P91)*1440,0)))</f>
        <v/>
      </c>
      <c r="U91" s="34" t="str">
        <f>IF(OR($Q91="",$R91=""),"",MAX(0,ROUND(($R91-$Q91)*1440,0)))</f>
        <v/>
      </c>
      <c r="V91" s="35" t="str">
        <f>IF($A91="","",IF($O91="No-show","Sim","Não"))</f>
        <v/>
      </c>
      <c r="W91" s="32"/>
    </row>
    <row r="92" spans="1:23" x14ac:dyDescent="0.25">
      <c r="A92" s="24"/>
      <c r="B92" s="25"/>
      <c r="C92" s="26"/>
      <c r="D92" s="24"/>
      <c r="E92" s="24"/>
      <c r="F92" s="24"/>
      <c r="G92" s="24"/>
      <c r="H92" s="24"/>
      <c r="I92" s="24"/>
      <c r="J92" s="27"/>
      <c r="K92" s="24"/>
      <c r="L92" s="24"/>
      <c r="M92" s="24"/>
      <c r="N92" s="24"/>
      <c r="O92" s="24"/>
      <c r="P92" s="26"/>
      <c r="Q92" s="26"/>
      <c r="R92" s="26"/>
      <c r="S92" s="34" t="str">
        <f>IF(OR($C92="",$P92=""),"",MAX(0,ROUND(($P92-$C92)*1440,0)))</f>
        <v/>
      </c>
      <c r="T92" s="34" t="str">
        <f>IF(OR($P92="",$Q92=""),"",MAX(0,ROUND(($Q92-$P92)*1440,0)))</f>
        <v/>
      </c>
      <c r="U92" s="34" t="str">
        <f>IF(OR($Q92="",$R92=""),"",MAX(0,ROUND(($R92-$Q92)*1440,0)))</f>
        <v/>
      </c>
      <c r="V92" s="35" t="str">
        <f>IF($A92="","",IF($O92="No-show","Sim","Não"))</f>
        <v/>
      </c>
      <c r="W92" s="32"/>
    </row>
    <row r="93" spans="1:23" x14ac:dyDescent="0.25">
      <c r="A93" s="24"/>
      <c r="B93" s="25"/>
      <c r="C93" s="26"/>
      <c r="D93" s="24"/>
      <c r="E93" s="24"/>
      <c r="F93" s="24"/>
      <c r="G93" s="24"/>
      <c r="H93" s="24"/>
      <c r="I93" s="24"/>
      <c r="J93" s="27"/>
      <c r="K93" s="24"/>
      <c r="L93" s="24"/>
      <c r="M93" s="24"/>
      <c r="N93" s="24"/>
      <c r="O93" s="24"/>
      <c r="P93" s="26"/>
      <c r="Q93" s="26"/>
      <c r="R93" s="26"/>
      <c r="S93" s="34" t="str">
        <f>IF(OR($C93="",$P93=""),"",MAX(0,ROUND(($P93-$C93)*1440,0)))</f>
        <v/>
      </c>
      <c r="T93" s="34" t="str">
        <f>IF(OR($P93="",$Q93=""),"",MAX(0,ROUND(($Q93-$P93)*1440,0)))</f>
        <v/>
      </c>
      <c r="U93" s="34" t="str">
        <f>IF(OR($Q93="",$R93=""),"",MAX(0,ROUND(($R93-$Q93)*1440,0)))</f>
        <v/>
      </c>
      <c r="V93" s="35" t="str">
        <f>IF($A93="","",IF($O93="No-show","Sim","Não"))</f>
        <v/>
      </c>
      <c r="W93" s="32"/>
    </row>
    <row r="94" spans="1:23" x14ac:dyDescent="0.25">
      <c r="A94" s="24"/>
      <c r="B94" s="25"/>
      <c r="C94" s="26"/>
      <c r="D94" s="24"/>
      <c r="E94" s="24"/>
      <c r="F94" s="24"/>
      <c r="G94" s="24"/>
      <c r="H94" s="24"/>
      <c r="I94" s="24"/>
      <c r="J94" s="27"/>
      <c r="K94" s="24"/>
      <c r="L94" s="24"/>
      <c r="M94" s="24"/>
      <c r="N94" s="24"/>
      <c r="O94" s="24"/>
      <c r="P94" s="26"/>
      <c r="Q94" s="26"/>
      <c r="R94" s="26"/>
      <c r="S94" s="34" t="str">
        <f>IF(OR($C94="",$P94=""),"",MAX(0,ROUND(($P94-$C94)*1440,0)))</f>
        <v/>
      </c>
      <c r="T94" s="34" t="str">
        <f>IF(OR($P94="",$Q94=""),"",MAX(0,ROUND(($Q94-$P94)*1440,0)))</f>
        <v/>
      </c>
      <c r="U94" s="34" t="str">
        <f>IF(OR($Q94="",$R94=""),"",MAX(0,ROUND(($R94-$Q94)*1440,0)))</f>
        <v/>
      </c>
      <c r="V94" s="35" t="str">
        <f>IF($A94="","",IF($O94="No-show","Sim","Não"))</f>
        <v/>
      </c>
      <c r="W94" s="32"/>
    </row>
    <row r="95" spans="1:23" x14ac:dyDescent="0.25">
      <c r="A95" s="24"/>
      <c r="B95" s="25"/>
      <c r="C95" s="26"/>
      <c r="D95" s="24"/>
      <c r="E95" s="24"/>
      <c r="F95" s="24"/>
      <c r="G95" s="24"/>
      <c r="H95" s="24"/>
      <c r="I95" s="24"/>
      <c r="J95" s="27"/>
      <c r="K95" s="24"/>
      <c r="L95" s="24"/>
      <c r="M95" s="24"/>
      <c r="N95" s="24"/>
      <c r="O95" s="24"/>
      <c r="P95" s="26"/>
      <c r="Q95" s="26"/>
      <c r="R95" s="26"/>
      <c r="S95" s="34" t="str">
        <f>IF(OR($C95="",$P95=""),"",MAX(0,ROUND(($P95-$C95)*1440,0)))</f>
        <v/>
      </c>
      <c r="T95" s="34" t="str">
        <f>IF(OR($P95="",$Q95=""),"",MAX(0,ROUND(($Q95-$P95)*1440,0)))</f>
        <v/>
      </c>
      <c r="U95" s="34" t="str">
        <f>IF(OR($Q95="",$R95=""),"",MAX(0,ROUND(($R95-$Q95)*1440,0)))</f>
        <v/>
      </c>
      <c r="V95" s="35" t="str">
        <f>IF($A95="","",IF($O95="No-show","Sim","Não"))</f>
        <v/>
      </c>
      <c r="W95" s="32"/>
    </row>
    <row r="96" spans="1:23" x14ac:dyDescent="0.25">
      <c r="A96" s="24"/>
      <c r="B96" s="25"/>
      <c r="C96" s="26"/>
      <c r="D96" s="24"/>
      <c r="E96" s="24"/>
      <c r="F96" s="24"/>
      <c r="G96" s="24"/>
      <c r="H96" s="24"/>
      <c r="I96" s="24"/>
      <c r="J96" s="27"/>
      <c r="K96" s="24"/>
      <c r="L96" s="24"/>
      <c r="M96" s="24"/>
      <c r="N96" s="24"/>
      <c r="O96" s="24"/>
      <c r="P96" s="26"/>
      <c r="Q96" s="26"/>
      <c r="R96" s="26"/>
      <c r="S96" s="34" t="str">
        <f>IF(OR($C96="",$P96=""),"",MAX(0,ROUND(($P96-$C96)*1440,0)))</f>
        <v/>
      </c>
      <c r="T96" s="34" t="str">
        <f>IF(OR($P96="",$Q96=""),"",MAX(0,ROUND(($Q96-$P96)*1440,0)))</f>
        <v/>
      </c>
      <c r="U96" s="34" t="str">
        <f>IF(OR($Q96="",$R96=""),"",MAX(0,ROUND(($R96-$Q96)*1440,0)))</f>
        <v/>
      </c>
      <c r="V96" s="35" t="str">
        <f>IF($A96="","",IF($O96="No-show","Sim","Não"))</f>
        <v/>
      </c>
      <c r="W96" s="32"/>
    </row>
    <row r="97" spans="1:23" x14ac:dyDescent="0.25">
      <c r="A97" s="24"/>
      <c r="B97" s="25"/>
      <c r="C97" s="26"/>
      <c r="D97" s="24"/>
      <c r="E97" s="24"/>
      <c r="F97" s="24"/>
      <c r="G97" s="24"/>
      <c r="H97" s="24"/>
      <c r="I97" s="24"/>
      <c r="J97" s="27"/>
      <c r="K97" s="24"/>
      <c r="L97" s="24"/>
      <c r="M97" s="24"/>
      <c r="N97" s="24"/>
      <c r="O97" s="24"/>
      <c r="P97" s="26"/>
      <c r="Q97" s="26"/>
      <c r="R97" s="26"/>
      <c r="S97" s="34" t="str">
        <f>IF(OR($C97="",$P97=""),"",MAX(0,ROUND(($P97-$C97)*1440,0)))</f>
        <v/>
      </c>
      <c r="T97" s="34" t="str">
        <f>IF(OR($P97="",$Q97=""),"",MAX(0,ROUND(($Q97-$P97)*1440,0)))</f>
        <v/>
      </c>
      <c r="U97" s="34" t="str">
        <f>IF(OR($Q97="",$R97=""),"",MAX(0,ROUND(($R97-$Q97)*1440,0)))</f>
        <v/>
      </c>
      <c r="V97" s="35" t="str">
        <f>IF($A97="","",IF($O97="No-show","Sim","Não"))</f>
        <v/>
      </c>
      <c r="W97" s="32"/>
    </row>
    <row r="98" spans="1:23" x14ac:dyDescent="0.25">
      <c r="A98" s="24"/>
      <c r="B98" s="25"/>
      <c r="C98" s="26"/>
      <c r="D98" s="24"/>
      <c r="E98" s="24"/>
      <c r="F98" s="24"/>
      <c r="G98" s="24"/>
      <c r="H98" s="24"/>
      <c r="I98" s="24"/>
      <c r="J98" s="27"/>
      <c r="K98" s="24"/>
      <c r="L98" s="24"/>
      <c r="M98" s="24"/>
      <c r="N98" s="24"/>
      <c r="O98" s="24"/>
      <c r="P98" s="26"/>
      <c r="Q98" s="26"/>
      <c r="R98" s="26"/>
      <c r="S98" s="34" t="str">
        <f>IF(OR($C98="",$P98=""),"",MAX(0,ROUND(($P98-$C98)*1440,0)))</f>
        <v/>
      </c>
      <c r="T98" s="34" t="str">
        <f>IF(OR($P98="",$Q98=""),"",MAX(0,ROUND(($Q98-$P98)*1440,0)))</f>
        <v/>
      </c>
      <c r="U98" s="34" t="str">
        <f>IF(OR($Q98="",$R98=""),"",MAX(0,ROUND(($R98-$Q98)*1440,0)))</f>
        <v/>
      </c>
      <c r="V98" s="35" t="str">
        <f>IF($A98="","",IF($O98="No-show","Sim","Não"))</f>
        <v/>
      </c>
      <c r="W98" s="32"/>
    </row>
    <row r="99" spans="1:23" x14ac:dyDescent="0.25">
      <c r="A99" s="24"/>
      <c r="B99" s="25"/>
      <c r="C99" s="26"/>
      <c r="D99" s="24"/>
      <c r="E99" s="24"/>
      <c r="F99" s="24"/>
      <c r="G99" s="24"/>
      <c r="H99" s="24"/>
      <c r="I99" s="24"/>
      <c r="J99" s="27"/>
      <c r="K99" s="24"/>
      <c r="L99" s="24"/>
      <c r="M99" s="24"/>
      <c r="N99" s="24"/>
      <c r="O99" s="24"/>
      <c r="P99" s="26"/>
      <c r="Q99" s="26"/>
      <c r="R99" s="26"/>
      <c r="S99" s="34" t="str">
        <f>IF(OR($C99="",$P99=""),"",MAX(0,ROUND(($P99-$C99)*1440,0)))</f>
        <v/>
      </c>
      <c r="T99" s="34" t="str">
        <f>IF(OR($P99="",$Q99=""),"",MAX(0,ROUND(($Q99-$P99)*1440,0)))</f>
        <v/>
      </c>
      <c r="U99" s="34" t="str">
        <f>IF(OR($Q99="",$R99=""),"",MAX(0,ROUND(($R99-$Q99)*1440,0)))</f>
        <v/>
      </c>
      <c r="V99" s="35" t="str">
        <f>IF($A99="","",IF($O99="No-show","Sim","Não"))</f>
        <v/>
      </c>
      <c r="W99" s="32"/>
    </row>
    <row r="100" spans="1:23" x14ac:dyDescent="0.25">
      <c r="A100" s="24"/>
      <c r="B100" s="25"/>
      <c r="C100" s="26"/>
      <c r="D100" s="24"/>
      <c r="E100" s="24"/>
      <c r="F100" s="24"/>
      <c r="G100" s="24"/>
      <c r="H100" s="24"/>
      <c r="I100" s="24"/>
      <c r="J100" s="27"/>
      <c r="K100" s="24"/>
      <c r="L100" s="24"/>
      <c r="M100" s="24"/>
      <c r="N100" s="24"/>
      <c r="O100" s="24"/>
      <c r="P100" s="26"/>
      <c r="Q100" s="26"/>
      <c r="R100" s="26"/>
      <c r="S100" s="34" t="str">
        <f>IF(OR($C100="",$P100=""),"",MAX(0,ROUND(($P100-$C100)*1440,0)))</f>
        <v/>
      </c>
      <c r="T100" s="34" t="str">
        <f>IF(OR($P100="",$Q100=""),"",MAX(0,ROUND(($Q100-$P100)*1440,0)))</f>
        <v/>
      </c>
      <c r="U100" s="34" t="str">
        <f>IF(OR($Q100="",$R100=""),"",MAX(0,ROUND(($R100-$Q100)*1440,0)))</f>
        <v/>
      </c>
      <c r="V100" s="35" t="str">
        <f>IF($A100="","",IF($O100="No-show","Sim","Não"))</f>
        <v/>
      </c>
      <c r="W100" s="32"/>
    </row>
    <row r="101" spans="1:23" x14ac:dyDescent="0.25">
      <c r="A101" s="24"/>
      <c r="B101" s="25"/>
      <c r="C101" s="26"/>
      <c r="D101" s="24"/>
      <c r="E101" s="24"/>
      <c r="F101" s="24"/>
      <c r="G101" s="24"/>
      <c r="H101" s="24"/>
      <c r="I101" s="24"/>
      <c r="J101" s="27"/>
      <c r="K101" s="24"/>
      <c r="L101" s="24"/>
      <c r="M101" s="24"/>
      <c r="N101" s="24"/>
      <c r="O101" s="24"/>
      <c r="P101" s="26"/>
      <c r="Q101" s="26"/>
      <c r="R101" s="26"/>
      <c r="S101" s="34" t="str">
        <f>IF(OR($C101="",$P101=""),"",MAX(0,ROUND(($P101-$C101)*1440,0)))</f>
        <v/>
      </c>
      <c r="T101" s="34" t="str">
        <f>IF(OR($P101="",$Q101=""),"",MAX(0,ROUND(($Q101-$P101)*1440,0)))</f>
        <v/>
      </c>
      <c r="U101" s="34" t="str">
        <f>IF(OR($Q101="",$R101=""),"",MAX(0,ROUND(($R101-$Q101)*1440,0)))</f>
        <v/>
      </c>
      <c r="V101" s="35" t="str">
        <f>IF($A101="","",IF($O101="No-show","Sim","Não"))</f>
        <v/>
      </c>
      <c r="W101" s="32"/>
    </row>
    <row r="102" spans="1:23" x14ac:dyDescent="0.25">
      <c r="A102" s="24"/>
      <c r="B102" s="25"/>
      <c r="C102" s="26"/>
      <c r="D102" s="24"/>
      <c r="E102" s="24"/>
      <c r="F102" s="24"/>
      <c r="G102" s="24"/>
      <c r="H102" s="24"/>
      <c r="I102" s="24"/>
      <c r="J102" s="27"/>
      <c r="K102" s="24"/>
      <c r="L102" s="24"/>
      <c r="M102" s="24"/>
      <c r="N102" s="24"/>
      <c r="O102" s="24"/>
      <c r="P102" s="26"/>
      <c r="Q102" s="26"/>
      <c r="R102" s="26"/>
      <c r="S102" s="34" t="str">
        <f>IF(OR($C102="",$P102=""),"",MAX(0,ROUND(($P102-$C102)*1440,0)))</f>
        <v/>
      </c>
      <c r="T102" s="34" t="str">
        <f>IF(OR($P102="",$Q102=""),"",MAX(0,ROUND(($Q102-$P102)*1440,0)))</f>
        <v/>
      </c>
      <c r="U102" s="34" t="str">
        <f>IF(OR($Q102="",$R102=""),"",MAX(0,ROUND(($R102-$Q102)*1440,0)))</f>
        <v/>
      </c>
      <c r="V102" s="35" t="str">
        <f>IF($A102="","",IF($O102="No-show","Sim","Não"))</f>
        <v/>
      </c>
      <c r="W102" s="32"/>
    </row>
    <row r="103" spans="1:23" x14ac:dyDescent="0.25">
      <c r="A103" s="24"/>
      <c r="B103" s="25"/>
      <c r="C103" s="26"/>
      <c r="D103" s="24"/>
      <c r="E103" s="24"/>
      <c r="F103" s="24"/>
      <c r="G103" s="24"/>
      <c r="H103" s="24"/>
      <c r="I103" s="24"/>
      <c r="J103" s="27"/>
      <c r="K103" s="24"/>
      <c r="L103" s="24"/>
      <c r="M103" s="24"/>
      <c r="N103" s="24"/>
      <c r="O103" s="24"/>
      <c r="P103" s="26"/>
      <c r="Q103" s="26"/>
      <c r="R103" s="26"/>
      <c r="S103" s="34" t="str">
        <f>IF(OR($C103="",$P103=""),"",MAX(0,ROUND(($P103-$C103)*1440,0)))</f>
        <v/>
      </c>
      <c r="T103" s="34" t="str">
        <f>IF(OR($P103="",$Q103=""),"",MAX(0,ROUND(($Q103-$P103)*1440,0)))</f>
        <v/>
      </c>
      <c r="U103" s="34" t="str">
        <f>IF(OR($Q103="",$R103=""),"",MAX(0,ROUND(($R103-$Q103)*1440,0)))</f>
        <v/>
      </c>
      <c r="V103" s="35" t="str">
        <f>IF($A103="","",IF($O103="No-show","Sim","Não"))</f>
        <v/>
      </c>
      <c r="W103" s="32"/>
    </row>
    <row r="104" spans="1:23" x14ac:dyDescent="0.25">
      <c r="A104" s="24"/>
      <c r="B104" s="25"/>
      <c r="C104" s="26"/>
      <c r="D104" s="24"/>
      <c r="E104" s="24"/>
      <c r="F104" s="24"/>
      <c r="G104" s="24"/>
      <c r="H104" s="24"/>
      <c r="I104" s="24"/>
      <c r="J104" s="27"/>
      <c r="K104" s="24"/>
      <c r="L104" s="24"/>
      <c r="M104" s="24"/>
      <c r="N104" s="24"/>
      <c r="O104" s="24"/>
      <c r="P104" s="26"/>
      <c r="Q104" s="26"/>
      <c r="R104" s="26"/>
      <c r="S104" s="34" t="str">
        <f>IF(OR($C104="",$P104=""),"",MAX(0,ROUND(($P104-$C104)*1440,0)))</f>
        <v/>
      </c>
      <c r="T104" s="34" t="str">
        <f>IF(OR($P104="",$Q104=""),"",MAX(0,ROUND(($Q104-$P104)*1440,0)))</f>
        <v/>
      </c>
      <c r="U104" s="34" t="str">
        <f>IF(OR($Q104="",$R104=""),"",MAX(0,ROUND(($R104-$Q104)*1440,0)))</f>
        <v/>
      </c>
      <c r="V104" s="35" t="str">
        <f>IF($A104="","",IF($O104="No-show","Sim","Não"))</f>
        <v/>
      </c>
      <c r="W104" s="32"/>
    </row>
    <row r="105" spans="1:23" x14ac:dyDescent="0.25">
      <c r="A105" s="24"/>
      <c r="B105" s="25"/>
      <c r="C105" s="26"/>
      <c r="D105" s="24"/>
      <c r="E105" s="24"/>
      <c r="F105" s="24"/>
      <c r="G105" s="24"/>
      <c r="H105" s="24"/>
      <c r="I105" s="24"/>
      <c r="J105" s="27"/>
      <c r="K105" s="24"/>
      <c r="L105" s="24"/>
      <c r="M105" s="24"/>
      <c r="N105" s="24"/>
      <c r="O105" s="24"/>
      <c r="P105" s="26"/>
      <c r="Q105" s="26"/>
      <c r="R105" s="26"/>
      <c r="S105" s="34" t="str">
        <f>IF(OR($C105="",$P105=""),"",MAX(0,ROUND(($P105-$C105)*1440,0)))</f>
        <v/>
      </c>
      <c r="T105" s="34" t="str">
        <f>IF(OR($P105="",$Q105=""),"",MAX(0,ROUND(($Q105-$P105)*1440,0)))</f>
        <v/>
      </c>
      <c r="U105" s="34" t="str">
        <f>IF(OR($Q105="",$R105=""),"",MAX(0,ROUND(($R105-$Q105)*1440,0)))</f>
        <v/>
      </c>
      <c r="V105" s="35" t="str">
        <f>IF($A105="","",IF($O105="No-show","Sim","Não"))</f>
        <v/>
      </c>
      <c r="W105" s="32"/>
    </row>
    <row r="106" spans="1:23" x14ac:dyDescent="0.25">
      <c r="A106" s="24"/>
      <c r="B106" s="25"/>
      <c r="C106" s="26"/>
      <c r="D106" s="24"/>
      <c r="E106" s="24"/>
      <c r="F106" s="24"/>
      <c r="G106" s="24"/>
      <c r="H106" s="24"/>
      <c r="I106" s="24"/>
      <c r="J106" s="27"/>
      <c r="K106" s="24"/>
      <c r="L106" s="24"/>
      <c r="M106" s="24"/>
      <c r="N106" s="24"/>
      <c r="O106" s="24"/>
      <c r="P106" s="26"/>
      <c r="Q106" s="26"/>
      <c r="R106" s="26"/>
      <c r="S106" s="34" t="str">
        <f>IF(OR($C106="",$P106=""),"",MAX(0,ROUND(($P106-$C106)*1440,0)))</f>
        <v/>
      </c>
      <c r="T106" s="34" t="str">
        <f>IF(OR($P106="",$Q106=""),"",MAX(0,ROUND(($Q106-$P106)*1440,0)))</f>
        <v/>
      </c>
      <c r="U106" s="34" t="str">
        <f>IF(OR($Q106="",$R106=""),"",MAX(0,ROUND(($R106-$Q106)*1440,0)))</f>
        <v/>
      </c>
      <c r="V106" s="35" t="str">
        <f>IF($A106="","",IF($O106="No-show","Sim","Não"))</f>
        <v/>
      </c>
      <c r="W106" s="32"/>
    </row>
    <row r="107" spans="1:23" x14ac:dyDescent="0.25">
      <c r="A107" s="24"/>
      <c r="B107" s="25"/>
      <c r="C107" s="26"/>
      <c r="D107" s="24"/>
      <c r="E107" s="24"/>
      <c r="F107" s="24"/>
      <c r="G107" s="24"/>
      <c r="H107" s="24"/>
      <c r="I107" s="24"/>
      <c r="J107" s="27"/>
      <c r="K107" s="24"/>
      <c r="L107" s="24"/>
      <c r="M107" s="24"/>
      <c r="N107" s="24"/>
      <c r="O107" s="24"/>
      <c r="P107" s="26"/>
      <c r="Q107" s="26"/>
      <c r="R107" s="26"/>
      <c r="S107" s="34" t="str">
        <f>IF(OR($C107="",$P107=""),"",MAX(0,ROUND(($P107-$C107)*1440,0)))</f>
        <v/>
      </c>
      <c r="T107" s="34" t="str">
        <f>IF(OR($P107="",$Q107=""),"",MAX(0,ROUND(($Q107-$P107)*1440,0)))</f>
        <v/>
      </c>
      <c r="U107" s="34" t="str">
        <f>IF(OR($Q107="",$R107=""),"",MAX(0,ROUND(($R107-$Q107)*1440,0)))</f>
        <v/>
      </c>
      <c r="V107" s="35" t="str">
        <f>IF($A107="","",IF($O107="No-show","Sim","Não"))</f>
        <v/>
      </c>
      <c r="W107" s="32"/>
    </row>
    <row r="108" spans="1:23" x14ac:dyDescent="0.25">
      <c r="A108" s="24"/>
      <c r="B108" s="25"/>
      <c r="C108" s="26"/>
      <c r="D108" s="24"/>
      <c r="E108" s="24"/>
      <c r="F108" s="24"/>
      <c r="G108" s="24"/>
      <c r="H108" s="24"/>
      <c r="I108" s="24"/>
      <c r="J108" s="27"/>
      <c r="K108" s="24"/>
      <c r="L108" s="24"/>
      <c r="M108" s="24"/>
      <c r="N108" s="24"/>
      <c r="O108" s="24"/>
      <c r="P108" s="26"/>
      <c r="Q108" s="26"/>
      <c r="R108" s="26"/>
      <c r="S108" s="34" t="str">
        <f>IF(OR($C108="",$P108=""),"",MAX(0,ROUND(($P108-$C108)*1440,0)))</f>
        <v/>
      </c>
      <c r="T108" s="34" t="str">
        <f>IF(OR($P108="",$Q108=""),"",MAX(0,ROUND(($Q108-$P108)*1440,0)))</f>
        <v/>
      </c>
      <c r="U108" s="34" t="str">
        <f>IF(OR($Q108="",$R108=""),"",MAX(0,ROUND(($R108-$Q108)*1440,0)))</f>
        <v/>
      </c>
      <c r="V108" s="35" t="str">
        <f>IF($A108="","",IF($O108="No-show","Sim","Não"))</f>
        <v/>
      </c>
      <c r="W108" s="32"/>
    </row>
    <row r="109" spans="1:23" x14ac:dyDescent="0.25">
      <c r="A109" s="24"/>
      <c r="B109" s="25"/>
      <c r="C109" s="26"/>
      <c r="D109" s="24"/>
      <c r="E109" s="24"/>
      <c r="F109" s="24"/>
      <c r="G109" s="24"/>
      <c r="H109" s="24"/>
      <c r="I109" s="24"/>
      <c r="J109" s="27"/>
      <c r="K109" s="24"/>
      <c r="L109" s="24"/>
      <c r="M109" s="24"/>
      <c r="N109" s="24"/>
      <c r="O109" s="24"/>
      <c r="P109" s="26"/>
      <c r="Q109" s="26"/>
      <c r="R109" s="26"/>
      <c r="S109" s="34" t="str">
        <f>IF(OR($C109="",$P109=""),"",MAX(0,ROUND(($P109-$C109)*1440,0)))</f>
        <v/>
      </c>
      <c r="T109" s="34" t="str">
        <f>IF(OR($P109="",$Q109=""),"",MAX(0,ROUND(($Q109-$P109)*1440,0)))</f>
        <v/>
      </c>
      <c r="U109" s="34" t="str">
        <f>IF(OR($Q109="",$R109=""),"",MAX(0,ROUND(($R109-$Q109)*1440,0)))</f>
        <v/>
      </c>
      <c r="V109" s="35" t="str">
        <f>IF($A109="","",IF($O109="No-show","Sim","Não"))</f>
        <v/>
      </c>
      <c r="W109" s="32"/>
    </row>
    <row r="110" spans="1:23" x14ac:dyDescent="0.25">
      <c r="A110" s="24"/>
      <c r="B110" s="25"/>
      <c r="C110" s="26"/>
      <c r="D110" s="24"/>
      <c r="E110" s="24"/>
      <c r="F110" s="24"/>
      <c r="G110" s="24"/>
      <c r="H110" s="24"/>
      <c r="I110" s="24"/>
      <c r="J110" s="27"/>
      <c r="K110" s="24"/>
      <c r="L110" s="24"/>
      <c r="M110" s="24"/>
      <c r="N110" s="24"/>
      <c r="O110" s="24"/>
      <c r="P110" s="26"/>
      <c r="Q110" s="26"/>
      <c r="R110" s="26"/>
      <c r="S110" s="34" t="str">
        <f>IF(OR($C110="",$P110=""),"",MAX(0,ROUND(($P110-$C110)*1440,0)))</f>
        <v/>
      </c>
      <c r="T110" s="34" t="str">
        <f>IF(OR($P110="",$Q110=""),"",MAX(0,ROUND(($Q110-$P110)*1440,0)))</f>
        <v/>
      </c>
      <c r="U110" s="34" t="str">
        <f>IF(OR($Q110="",$R110=""),"",MAX(0,ROUND(($R110-$Q110)*1440,0)))</f>
        <v/>
      </c>
      <c r="V110" s="35" t="str">
        <f>IF($A110="","",IF($O110="No-show","Sim","Não"))</f>
        <v/>
      </c>
      <c r="W110" s="32"/>
    </row>
    <row r="111" spans="1:23" x14ac:dyDescent="0.25">
      <c r="A111" s="24"/>
      <c r="B111" s="25"/>
      <c r="C111" s="26"/>
      <c r="D111" s="24"/>
      <c r="E111" s="24"/>
      <c r="F111" s="24"/>
      <c r="G111" s="24"/>
      <c r="H111" s="24"/>
      <c r="I111" s="24"/>
      <c r="J111" s="27"/>
      <c r="K111" s="24"/>
      <c r="L111" s="24"/>
      <c r="M111" s="24"/>
      <c r="N111" s="24"/>
      <c r="O111" s="24"/>
      <c r="P111" s="26"/>
      <c r="Q111" s="26"/>
      <c r="R111" s="26"/>
      <c r="S111" s="34" t="str">
        <f>IF(OR($C111="",$P111=""),"",MAX(0,ROUND(($P111-$C111)*1440,0)))</f>
        <v/>
      </c>
      <c r="T111" s="34" t="str">
        <f>IF(OR($P111="",$Q111=""),"",MAX(0,ROUND(($Q111-$P111)*1440,0)))</f>
        <v/>
      </c>
      <c r="U111" s="34" t="str">
        <f>IF(OR($Q111="",$R111=""),"",MAX(0,ROUND(($R111-$Q111)*1440,0)))</f>
        <v/>
      </c>
      <c r="V111" s="35" t="str">
        <f>IF($A111="","",IF($O111="No-show","Sim","Não"))</f>
        <v/>
      </c>
      <c r="W111" s="32"/>
    </row>
    <row r="112" spans="1:23" x14ac:dyDescent="0.25">
      <c r="A112" s="24"/>
      <c r="B112" s="25"/>
      <c r="C112" s="26"/>
      <c r="D112" s="24"/>
      <c r="E112" s="24"/>
      <c r="F112" s="24"/>
      <c r="G112" s="24"/>
      <c r="H112" s="24"/>
      <c r="I112" s="24"/>
      <c r="J112" s="27"/>
      <c r="K112" s="24"/>
      <c r="L112" s="24"/>
      <c r="M112" s="24"/>
      <c r="N112" s="24"/>
      <c r="O112" s="24"/>
      <c r="P112" s="26"/>
      <c r="Q112" s="26"/>
      <c r="R112" s="26"/>
      <c r="S112" s="34" t="str">
        <f>IF(OR($C112="",$P112=""),"",MAX(0,ROUND(($P112-$C112)*1440,0)))</f>
        <v/>
      </c>
      <c r="T112" s="34" t="str">
        <f>IF(OR($P112="",$Q112=""),"",MAX(0,ROUND(($Q112-$P112)*1440,0)))</f>
        <v/>
      </c>
      <c r="U112" s="34" t="str">
        <f>IF(OR($Q112="",$R112=""),"",MAX(0,ROUND(($R112-$Q112)*1440,0)))</f>
        <v/>
      </c>
      <c r="V112" s="35" t="str">
        <f>IF($A112="","",IF($O112="No-show","Sim","Não"))</f>
        <v/>
      </c>
      <c r="W112" s="32"/>
    </row>
    <row r="113" spans="1:23" x14ac:dyDescent="0.25">
      <c r="A113" s="24"/>
      <c r="B113" s="25"/>
      <c r="C113" s="26"/>
      <c r="D113" s="24"/>
      <c r="E113" s="24"/>
      <c r="F113" s="24"/>
      <c r="G113" s="24"/>
      <c r="H113" s="24"/>
      <c r="I113" s="24"/>
      <c r="J113" s="27"/>
      <c r="K113" s="24"/>
      <c r="L113" s="24"/>
      <c r="M113" s="24"/>
      <c r="N113" s="24"/>
      <c r="O113" s="24"/>
      <c r="P113" s="26"/>
      <c r="Q113" s="26"/>
      <c r="R113" s="26"/>
      <c r="S113" s="34" t="str">
        <f>IF(OR($C113="",$P113=""),"",MAX(0,ROUND(($P113-$C113)*1440,0)))</f>
        <v/>
      </c>
      <c r="T113" s="34" t="str">
        <f>IF(OR($P113="",$Q113=""),"",MAX(0,ROUND(($Q113-$P113)*1440,0)))</f>
        <v/>
      </c>
      <c r="U113" s="34" t="str">
        <f>IF(OR($Q113="",$R113=""),"",MAX(0,ROUND(($R113-$Q113)*1440,0)))</f>
        <v/>
      </c>
      <c r="V113" s="35" t="str">
        <f>IF($A113="","",IF($O113="No-show","Sim","Não"))</f>
        <v/>
      </c>
      <c r="W113" s="32"/>
    </row>
    <row r="114" spans="1:23" x14ac:dyDescent="0.25">
      <c r="A114" s="24"/>
      <c r="B114" s="25"/>
      <c r="C114" s="26"/>
      <c r="D114" s="24"/>
      <c r="E114" s="24"/>
      <c r="F114" s="24"/>
      <c r="G114" s="24"/>
      <c r="H114" s="24"/>
      <c r="I114" s="24"/>
      <c r="J114" s="27"/>
      <c r="K114" s="24"/>
      <c r="L114" s="24"/>
      <c r="M114" s="24"/>
      <c r="N114" s="24"/>
      <c r="O114" s="24"/>
      <c r="P114" s="26"/>
      <c r="Q114" s="26"/>
      <c r="R114" s="26"/>
      <c r="S114" s="34" t="str">
        <f>IF(OR($C114="",$P114=""),"",MAX(0,ROUND(($P114-$C114)*1440,0)))</f>
        <v/>
      </c>
      <c r="T114" s="34" t="str">
        <f>IF(OR($P114="",$Q114=""),"",MAX(0,ROUND(($Q114-$P114)*1440,0)))</f>
        <v/>
      </c>
      <c r="U114" s="34" t="str">
        <f>IF(OR($Q114="",$R114=""),"",MAX(0,ROUND(($R114-$Q114)*1440,0)))</f>
        <v/>
      </c>
      <c r="V114" s="35" t="str">
        <f>IF($A114="","",IF($O114="No-show","Sim","Não"))</f>
        <v/>
      </c>
      <c r="W114" s="32"/>
    </row>
    <row r="115" spans="1:23" x14ac:dyDescent="0.25">
      <c r="A115" s="24"/>
      <c r="B115" s="25"/>
      <c r="C115" s="26"/>
      <c r="D115" s="24"/>
      <c r="E115" s="24"/>
      <c r="F115" s="24"/>
      <c r="G115" s="24"/>
      <c r="H115" s="24"/>
      <c r="I115" s="24"/>
      <c r="J115" s="27"/>
      <c r="K115" s="24"/>
      <c r="L115" s="24"/>
      <c r="M115" s="24"/>
      <c r="N115" s="24"/>
      <c r="O115" s="24"/>
      <c r="P115" s="26"/>
      <c r="Q115" s="26"/>
      <c r="R115" s="26"/>
      <c r="S115" s="34" t="str">
        <f>IF(OR($C115="",$P115=""),"",MAX(0,ROUND(($P115-$C115)*1440,0)))</f>
        <v/>
      </c>
      <c r="T115" s="34" t="str">
        <f>IF(OR($P115="",$Q115=""),"",MAX(0,ROUND(($Q115-$P115)*1440,0)))</f>
        <v/>
      </c>
      <c r="U115" s="34" t="str">
        <f>IF(OR($Q115="",$R115=""),"",MAX(0,ROUND(($R115-$Q115)*1440,0)))</f>
        <v/>
      </c>
      <c r="V115" s="35" t="str">
        <f>IF($A115="","",IF($O115="No-show","Sim","Não"))</f>
        <v/>
      </c>
      <c r="W115" s="32"/>
    </row>
    <row r="116" spans="1:23" x14ac:dyDescent="0.25">
      <c r="A116" s="24"/>
      <c r="B116" s="25"/>
      <c r="C116" s="26"/>
      <c r="D116" s="24"/>
      <c r="E116" s="24"/>
      <c r="F116" s="24"/>
      <c r="G116" s="24"/>
      <c r="H116" s="24"/>
      <c r="I116" s="24"/>
      <c r="J116" s="27"/>
      <c r="K116" s="24"/>
      <c r="L116" s="24"/>
      <c r="M116" s="24"/>
      <c r="N116" s="24"/>
      <c r="O116" s="24"/>
      <c r="P116" s="26"/>
      <c r="Q116" s="26"/>
      <c r="R116" s="26"/>
      <c r="S116" s="34" t="str">
        <f>IF(OR($C116="",$P116=""),"",MAX(0,ROUND(($P116-$C116)*1440,0)))</f>
        <v/>
      </c>
      <c r="T116" s="34" t="str">
        <f>IF(OR($P116="",$Q116=""),"",MAX(0,ROUND(($Q116-$P116)*1440,0)))</f>
        <v/>
      </c>
      <c r="U116" s="34" t="str">
        <f>IF(OR($Q116="",$R116=""),"",MAX(0,ROUND(($R116-$Q116)*1440,0)))</f>
        <v/>
      </c>
      <c r="V116" s="35" t="str">
        <f>IF($A116="","",IF($O116="No-show","Sim","Não"))</f>
        <v/>
      </c>
      <c r="W116" s="32"/>
    </row>
    <row r="117" spans="1:23" x14ac:dyDescent="0.25">
      <c r="A117" s="24"/>
      <c r="B117" s="25"/>
      <c r="C117" s="26"/>
      <c r="D117" s="24"/>
      <c r="E117" s="24"/>
      <c r="F117" s="24"/>
      <c r="G117" s="24"/>
      <c r="H117" s="24"/>
      <c r="I117" s="24"/>
      <c r="J117" s="27"/>
      <c r="K117" s="24"/>
      <c r="L117" s="24"/>
      <c r="M117" s="24"/>
      <c r="N117" s="24"/>
      <c r="O117" s="24"/>
      <c r="P117" s="26"/>
      <c r="Q117" s="26"/>
      <c r="R117" s="26"/>
      <c r="S117" s="34" t="str">
        <f>IF(OR($C117="",$P117=""),"",MAX(0,ROUND(($P117-$C117)*1440,0)))</f>
        <v/>
      </c>
      <c r="T117" s="34" t="str">
        <f>IF(OR($P117="",$Q117=""),"",MAX(0,ROUND(($Q117-$P117)*1440,0)))</f>
        <v/>
      </c>
      <c r="U117" s="34" t="str">
        <f>IF(OR($Q117="",$R117=""),"",MAX(0,ROUND(($R117-$Q117)*1440,0)))</f>
        <v/>
      </c>
      <c r="V117" s="35" t="str">
        <f>IF($A117="","",IF($O117="No-show","Sim","Não"))</f>
        <v/>
      </c>
      <c r="W117" s="32"/>
    </row>
    <row r="118" spans="1:23" x14ac:dyDescent="0.25">
      <c r="A118" s="24"/>
      <c r="B118" s="25"/>
      <c r="C118" s="26"/>
      <c r="D118" s="24"/>
      <c r="E118" s="24"/>
      <c r="F118" s="24"/>
      <c r="G118" s="24"/>
      <c r="H118" s="24"/>
      <c r="I118" s="24"/>
      <c r="J118" s="27"/>
      <c r="K118" s="24"/>
      <c r="L118" s="24"/>
      <c r="M118" s="24"/>
      <c r="N118" s="24"/>
      <c r="O118" s="24"/>
      <c r="P118" s="26"/>
      <c r="Q118" s="26"/>
      <c r="R118" s="26"/>
      <c r="S118" s="34" t="str">
        <f>IF(OR($C118="",$P118=""),"",MAX(0,ROUND(($P118-$C118)*1440,0)))</f>
        <v/>
      </c>
      <c r="T118" s="34" t="str">
        <f>IF(OR($P118="",$Q118=""),"",MAX(0,ROUND(($Q118-$P118)*1440,0)))</f>
        <v/>
      </c>
      <c r="U118" s="34" t="str">
        <f>IF(OR($Q118="",$R118=""),"",MAX(0,ROUND(($R118-$Q118)*1440,0)))</f>
        <v/>
      </c>
      <c r="V118" s="35" t="str">
        <f>IF($A118="","",IF($O118="No-show","Sim","Não"))</f>
        <v/>
      </c>
      <c r="W118" s="32"/>
    </row>
    <row r="119" spans="1:23" x14ac:dyDescent="0.25">
      <c r="A119" s="24"/>
      <c r="B119" s="25"/>
      <c r="C119" s="26"/>
      <c r="D119" s="24"/>
      <c r="E119" s="24"/>
      <c r="F119" s="24"/>
      <c r="G119" s="24"/>
      <c r="H119" s="24"/>
      <c r="I119" s="24"/>
      <c r="J119" s="27"/>
      <c r="K119" s="24"/>
      <c r="L119" s="24"/>
      <c r="M119" s="24"/>
      <c r="N119" s="24"/>
      <c r="O119" s="24"/>
      <c r="P119" s="26"/>
      <c r="Q119" s="26"/>
      <c r="R119" s="26"/>
      <c r="S119" s="34" t="str">
        <f>IF(OR($C119="",$P119=""),"",MAX(0,ROUND(($P119-$C119)*1440,0)))</f>
        <v/>
      </c>
      <c r="T119" s="34" t="str">
        <f>IF(OR($P119="",$Q119=""),"",MAX(0,ROUND(($Q119-$P119)*1440,0)))</f>
        <v/>
      </c>
      <c r="U119" s="34" t="str">
        <f>IF(OR($Q119="",$R119=""),"",MAX(0,ROUND(($R119-$Q119)*1440,0)))</f>
        <v/>
      </c>
      <c r="V119" s="35" t="str">
        <f>IF($A119="","",IF($O119="No-show","Sim","Não"))</f>
        <v/>
      </c>
      <c r="W119" s="32"/>
    </row>
    <row r="120" spans="1:23" x14ac:dyDescent="0.25">
      <c r="A120" s="24"/>
      <c r="B120" s="25"/>
      <c r="C120" s="26"/>
      <c r="D120" s="24"/>
      <c r="E120" s="24"/>
      <c r="F120" s="24"/>
      <c r="G120" s="24"/>
      <c r="H120" s="24"/>
      <c r="I120" s="24"/>
      <c r="J120" s="27"/>
      <c r="K120" s="24"/>
      <c r="L120" s="24"/>
      <c r="M120" s="24"/>
      <c r="N120" s="24"/>
      <c r="O120" s="24"/>
      <c r="P120" s="26"/>
      <c r="Q120" s="26"/>
      <c r="R120" s="26"/>
      <c r="S120" s="34" t="str">
        <f>IF(OR($C120="",$P120=""),"",MAX(0,ROUND(($P120-$C120)*1440,0)))</f>
        <v/>
      </c>
      <c r="T120" s="34" t="str">
        <f>IF(OR($P120="",$Q120=""),"",MAX(0,ROUND(($Q120-$P120)*1440,0)))</f>
        <v/>
      </c>
      <c r="U120" s="34" t="str">
        <f>IF(OR($Q120="",$R120=""),"",MAX(0,ROUND(($R120-$Q120)*1440,0)))</f>
        <v/>
      </c>
      <c r="V120" s="35" t="str">
        <f>IF($A120="","",IF($O120="No-show","Sim","Não"))</f>
        <v/>
      </c>
      <c r="W120" s="32"/>
    </row>
    <row r="121" spans="1:23" x14ac:dyDescent="0.25">
      <c r="A121" s="24"/>
      <c r="B121" s="25"/>
      <c r="C121" s="26"/>
      <c r="D121" s="24"/>
      <c r="E121" s="24"/>
      <c r="F121" s="24"/>
      <c r="G121" s="24"/>
      <c r="H121" s="24"/>
      <c r="I121" s="24"/>
      <c r="J121" s="27"/>
      <c r="K121" s="24"/>
      <c r="L121" s="24"/>
      <c r="M121" s="24"/>
      <c r="N121" s="24"/>
      <c r="O121" s="24"/>
      <c r="P121" s="26"/>
      <c r="Q121" s="26"/>
      <c r="R121" s="26"/>
      <c r="S121" s="34" t="str">
        <f>IF(OR($C121="",$P121=""),"",MAX(0,ROUND(($P121-$C121)*1440,0)))</f>
        <v/>
      </c>
      <c r="T121" s="34" t="str">
        <f>IF(OR($P121="",$Q121=""),"",MAX(0,ROUND(($Q121-$P121)*1440,0)))</f>
        <v/>
      </c>
      <c r="U121" s="34" t="str">
        <f>IF(OR($Q121="",$R121=""),"",MAX(0,ROUND(($R121-$Q121)*1440,0)))</f>
        <v/>
      </c>
      <c r="V121" s="35" t="str">
        <f>IF($A121="","",IF($O121="No-show","Sim","Não"))</f>
        <v/>
      </c>
      <c r="W121" s="32"/>
    </row>
    <row r="122" spans="1:23" x14ac:dyDescent="0.25">
      <c r="A122" s="24"/>
      <c r="B122" s="25"/>
      <c r="C122" s="26"/>
      <c r="D122" s="24"/>
      <c r="E122" s="24"/>
      <c r="F122" s="24"/>
      <c r="G122" s="24"/>
      <c r="H122" s="24"/>
      <c r="I122" s="24"/>
      <c r="J122" s="27"/>
      <c r="K122" s="24"/>
      <c r="L122" s="24"/>
      <c r="M122" s="24"/>
      <c r="N122" s="24"/>
      <c r="O122" s="24"/>
      <c r="P122" s="26"/>
      <c r="Q122" s="26"/>
      <c r="R122" s="26"/>
      <c r="S122" s="34" t="str">
        <f>IF(OR($C122="",$P122=""),"",MAX(0,ROUND(($P122-$C122)*1440,0)))</f>
        <v/>
      </c>
      <c r="T122" s="34" t="str">
        <f>IF(OR($P122="",$Q122=""),"",MAX(0,ROUND(($Q122-$P122)*1440,0)))</f>
        <v/>
      </c>
      <c r="U122" s="34" t="str">
        <f>IF(OR($Q122="",$R122=""),"",MAX(0,ROUND(($R122-$Q122)*1440,0)))</f>
        <v/>
      </c>
      <c r="V122" s="35" t="str">
        <f>IF($A122="","",IF($O122="No-show","Sim","Não"))</f>
        <v/>
      </c>
      <c r="W122" s="32"/>
    </row>
    <row r="123" spans="1:23" x14ac:dyDescent="0.25">
      <c r="A123" s="24"/>
      <c r="B123" s="25"/>
      <c r="C123" s="26"/>
      <c r="D123" s="24"/>
      <c r="E123" s="24"/>
      <c r="F123" s="24"/>
      <c r="G123" s="24"/>
      <c r="H123" s="24"/>
      <c r="I123" s="24"/>
      <c r="J123" s="27"/>
      <c r="K123" s="24"/>
      <c r="L123" s="24"/>
      <c r="M123" s="24"/>
      <c r="N123" s="24"/>
      <c r="O123" s="24"/>
      <c r="P123" s="26"/>
      <c r="Q123" s="26"/>
      <c r="R123" s="26"/>
      <c r="S123" s="34" t="str">
        <f>IF(OR($C123="",$P123=""),"",MAX(0,ROUND(($P123-$C123)*1440,0)))</f>
        <v/>
      </c>
      <c r="T123" s="34" t="str">
        <f>IF(OR($P123="",$Q123=""),"",MAX(0,ROUND(($Q123-$P123)*1440,0)))</f>
        <v/>
      </c>
      <c r="U123" s="34" t="str">
        <f>IF(OR($Q123="",$R123=""),"",MAX(0,ROUND(($R123-$Q123)*1440,0)))</f>
        <v/>
      </c>
      <c r="V123" s="35" t="str">
        <f>IF($A123="","",IF($O123="No-show","Sim","Não"))</f>
        <v/>
      </c>
      <c r="W123" s="32"/>
    </row>
    <row r="124" spans="1:23" x14ac:dyDescent="0.25">
      <c r="A124" s="24"/>
      <c r="B124" s="25"/>
      <c r="C124" s="26"/>
      <c r="D124" s="24"/>
      <c r="E124" s="24"/>
      <c r="F124" s="24"/>
      <c r="G124" s="24"/>
      <c r="H124" s="24"/>
      <c r="I124" s="24"/>
      <c r="J124" s="27"/>
      <c r="K124" s="24"/>
      <c r="L124" s="24"/>
      <c r="M124" s="24"/>
      <c r="N124" s="24"/>
      <c r="O124" s="24"/>
      <c r="P124" s="26"/>
      <c r="Q124" s="26"/>
      <c r="R124" s="26"/>
      <c r="S124" s="34" t="str">
        <f>IF(OR($C124="",$P124=""),"",MAX(0,ROUND(($P124-$C124)*1440,0)))</f>
        <v/>
      </c>
      <c r="T124" s="34" t="str">
        <f>IF(OR($P124="",$Q124=""),"",MAX(0,ROUND(($Q124-$P124)*1440,0)))</f>
        <v/>
      </c>
      <c r="U124" s="34" t="str">
        <f>IF(OR($Q124="",$R124=""),"",MAX(0,ROUND(($R124-$Q124)*1440,0)))</f>
        <v/>
      </c>
      <c r="V124" s="35" t="str">
        <f>IF($A124="","",IF($O124="No-show","Sim","Não"))</f>
        <v/>
      </c>
      <c r="W124" s="32"/>
    </row>
    <row r="125" spans="1:23" x14ac:dyDescent="0.25">
      <c r="A125" s="24"/>
      <c r="B125" s="25"/>
      <c r="C125" s="26"/>
      <c r="D125" s="24"/>
      <c r="E125" s="24"/>
      <c r="F125" s="24"/>
      <c r="G125" s="24"/>
      <c r="H125" s="24"/>
      <c r="I125" s="24"/>
      <c r="J125" s="27"/>
      <c r="K125" s="24"/>
      <c r="L125" s="24"/>
      <c r="M125" s="24"/>
      <c r="N125" s="24"/>
      <c r="O125" s="24"/>
      <c r="P125" s="26"/>
      <c r="Q125" s="26"/>
      <c r="R125" s="26"/>
      <c r="S125" s="34" t="str">
        <f>IF(OR($C125="",$P125=""),"",MAX(0,ROUND(($P125-$C125)*1440,0)))</f>
        <v/>
      </c>
      <c r="T125" s="34" t="str">
        <f>IF(OR($P125="",$Q125=""),"",MAX(0,ROUND(($Q125-$P125)*1440,0)))</f>
        <v/>
      </c>
      <c r="U125" s="34" t="str">
        <f>IF(OR($Q125="",$R125=""),"",MAX(0,ROUND(($R125-$Q125)*1440,0)))</f>
        <v/>
      </c>
      <c r="V125" s="35" t="str">
        <f>IF($A125="","",IF($O125="No-show","Sim","Não"))</f>
        <v/>
      </c>
      <c r="W125" s="32"/>
    </row>
    <row r="126" spans="1:23" x14ac:dyDescent="0.25">
      <c r="A126" s="24"/>
      <c r="B126" s="25"/>
      <c r="C126" s="26"/>
      <c r="D126" s="24"/>
      <c r="E126" s="24"/>
      <c r="F126" s="24"/>
      <c r="G126" s="24"/>
      <c r="H126" s="24"/>
      <c r="I126" s="24"/>
      <c r="J126" s="27"/>
      <c r="K126" s="24"/>
      <c r="L126" s="24"/>
      <c r="M126" s="24"/>
      <c r="N126" s="24"/>
      <c r="O126" s="24"/>
      <c r="P126" s="26"/>
      <c r="Q126" s="26"/>
      <c r="R126" s="26"/>
      <c r="S126" s="34" t="str">
        <f>IF(OR($C126="",$P126=""),"",MAX(0,ROUND(($P126-$C126)*1440,0)))</f>
        <v/>
      </c>
      <c r="T126" s="34" t="str">
        <f>IF(OR($P126="",$Q126=""),"",MAX(0,ROUND(($Q126-$P126)*1440,0)))</f>
        <v/>
      </c>
      <c r="U126" s="34" t="str">
        <f>IF(OR($Q126="",$R126=""),"",MAX(0,ROUND(($R126-$Q126)*1440,0)))</f>
        <v/>
      </c>
      <c r="V126" s="35" t="str">
        <f>IF($A126="","",IF($O126="No-show","Sim","Não"))</f>
        <v/>
      </c>
      <c r="W126" s="32"/>
    </row>
    <row r="127" spans="1:23" x14ac:dyDescent="0.25">
      <c r="A127" s="24"/>
      <c r="B127" s="25"/>
      <c r="C127" s="26"/>
      <c r="D127" s="24"/>
      <c r="E127" s="24"/>
      <c r="F127" s="24"/>
      <c r="G127" s="24"/>
      <c r="H127" s="24"/>
      <c r="I127" s="24"/>
      <c r="J127" s="27"/>
      <c r="K127" s="24"/>
      <c r="L127" s="24"/>
      <c r="M127" s="24"/>
      <c r="N127" s="24"/>
      <c r="O127" s="24"/>
      <c r="P127" s="26"/>
      <c r="Q127" s="26"/>
      <c r="R127" s="26"/>
      <c r="S127" s="34" t="str">
        <f>IF(OR($C127="",$P127=""),"",MAX(0,ROUND(($P127-$C127)*1440,0)))</f>
        <v/>
      </c>
      <c r="T127" s="34" t="str">
        <f>IF(OR($P127="",$Q127=""),"",MAX(0,ROUND(($Q127-$P127)*1440,0)))</f>
        <v/>
      </c>
      <c r="U127" s="34" t="str">
        <f>IF(OR($Q127="",$R127=""),"",MAX(0,ROUND(($R127-$Q127)*1440,0)))</f>
        <v/>
      </c>
      <c r="V127" s="35" t="str">
        <f>IF($A127="","",IF($O127="No-show","Sim","Não"))</f>
        <v/>
      </c>
      <c r="W127" s="32"/>
    </row>
    <row r="128" spans="1:23" x14ac:dyDescent="0.25">
      <c r="A128" s="24"/>
      <c r="B128" s="25"/>
      <c r="C128" s="26"/>
      <c r="D128" s="24"/>
      <c r="E128" s="24"/>
      <c r="F128" s="24"/>
      <c r="G128" s="24"/>
      <c r="H128" s="24"/>
      <c r="I128" s="24"/>
      <c r="J128" s="27"/>
      <c r="K128" s="24"/>
      <c r="L128" s="24"/>
      <c r="M128" s="24"/>
      <c r="N128" s="24"/>
      <c r="O128" s="24"/>
      <c r="P128" s="26"/>
      <c r="Q128" s="26"/>
      <c r="R128" s="26"/>
      <c r="S128" s="34" t="str">
        <f>IF(OR($C128="",$P128=""),"",MAX(0,ROUND(($P128-$C128)*1440,0)))</f>
        <v/>
      </c>
      <c r="T128" s="34" t="str">
        <f>IF(OR($P128="",$Q128=""),"",MAX(0,ROUND(($Q128-$P128)*1440,0)))</f>
        <v/>
      </c>
      <c r="U128" s="34" t="str">
        <f>IF(OR($Q128="",$R128=""),"",MAX(0,ROUND(($R128-$Q128)*1440,0)))</f>
        <v/>
      </c>
      <c r="V128" s="35" t="str">
        <f>IF($A128="","",IF($O128="No-show","Sim","Não"))</f>
        <v/>
      </c>
      <c r="W128" s="32"/>
    </row>
    <row r="129" spans="1:23" x14ac:dyDescent="0.25">
      <c r="A129" s="24"/>
      <c r="B129" s="25"/>
      <c r="C129" s="26"/>
      <c r="D129" s="24"/>
      <c r="E129" s="24"/>
      <c r="F129" s="24"/>
      <c r="G129" s="24"/>
      <c r="H129" s="24"/>
      <c r="I129" s="24"/>
      <c r="J129" s="27"/>
      <c r="K129" s="24"/>
      <c r="L129" s="24"/>
      <c r="M129" s="24"/>
      <c r="N129" s="24"/>
      <c r="O129" s="24"/>
      <c r="P129" s="26"/>
      <c r="Q129" s="26"/>
      <c r="R129" s="26"/>
      <c r="S129" s="34" t="str">
        <f>IF(OR($C129="",$P129=""),"",MAX(0,ROUND(($P129-$C129)*1440,0)))</f>
        <v/>
      </c>
      <c r="T129" s="34" t="str">
        <f>IF(OR($P129="",$Q129=""),"",MAX(0,ROUND(($Q129-$P129)*1440,0)))</f>
        <v/>
      </c>
      <c r="U129" s="34" t="str">
        <f>IF(OR($Q129="",$R129=""),"",MAX(0,ROUND(($R129-$Q129)*1440,0)))</f>
        <v/>
      </c>
      <c r="V129" s="35" t="str">
        <f>IF($A129="","",IF($O129="No-show","Sim","Não"))</f>
        <v/>
      </c>
      <c r="W129" s="32"/>
    </row>
    <row r="130" spans="1:23" x14ac:dyDescent="0.25">
      <c r="A130" s="24"/>
      <c r="B130" s="25"/>
      <c r="C130" s="26"/>
      <c r="D130" s="24"/>
      <c r="E130" s="24"/>
      <c r="F130" s="24"/>
      <c r="G130" s="24"/>
      <c r="H130" s="24"/>
      <c r="I130" s="24"/>
      <c r="J130" s="27"/>
      <c r="K130" s="24"/>
      <c r="L130" s="24"/>
      <c r="M130" s="24"/>
      <c r="N130" s="24"/>
      <c r="O130" s="24"/>
      <c r="P130" s="26"/>
      <c r="Q130" s="26"/>
      <c r="R130" s="26"/>
      <c r="S130" s="34" t="str">
        <f>IF(OR($C130="",$P130=""),"",MAX(0,ROUND(($P130-$C130)*1440,0)))</f>
        <v/>
      </c>
      <c r="T130" s="34" t="str">
        <f>IF(OR($P130="",$Q130=""),"",MAX(0,ROUND(($Q130-$P130)*1440,0)))</f>
        <v/>
      </c>
      <c r="U130" s="34" t="str">
        <f>IF(OR($Q130="",$R130=""),"",MAX(0,ROUND(($R130-$Q130)*1440,0)))</f>
        <v/>
      </c>
      <c r="V130" s="35" t="str">
        <f>IF($A130="","",IF($O130="No-show","Sim","Não"))</f>
        <v/>
      </c>
      <c r="W130" s="32"/>
    </row>
    <row r="131" spans="1:23" x14ac:dyDescent="0.25">
      <c r="A131" s="24"/>
      <c r="B131" s="25"/>
      <c r="C131" s="26"/>
      <c r="D131" s="24"/>
      <c r="E131" s="24"/>
      <c r="F131" s="24"/>
      <c r="G131" s="24"/>
      <c r="H131" s="24"/>
      <c r="I131" s="24"/>
      <c r="J131" s="27"/>
      <c r="K131" s="24"/>
      <c r="L131" s="24"/>
      <c r="M131" s="24"/>
      <c r="N131" s="24"/>
      <c r="O131" s="24"/>
      <c r="P131" s="26"/>
      <c r="Q131" s="26"/>
      <c r="R131" s="26"/>
      <c r="S131" s="34" t="str">
        <f>IF(OR($C131="",$P131=""),"",MAX(0,ROUND(($P131-$C131)*1440,0)))</f>
        <v/>
      </c>
      <c r="T131" s="34" t="str">
        <f>IF(OR($P131="",$Q131=""),"",MAX(0,ROUND(($Q131-$P131)*1440,0)))</f>
        <v/>
      </c>
      <c r="U131" s="34" t="str">
        <f>IF(OR($Q131="",$R131=""),"",MAX(0,ROUND(($R131-$Q131)*1440,0)))</f>
        <v/>
      </c>
      <c r="V131" s="35" t="str">
        <f>IF($A131="","",IF($O131="No-show","Sim","Não"))</f>
        <v/>
      </c>
      <c r="W131" s="32"/>
    </row>
    <row r="132" spans="1:23" x14ac:dyDescent="0.25">
      <c r="A132" s="24"/>
      <c r="B132" s="25"/>
      <c r="C132" s="26"/>
      <c r="D132" s="24"/>
      <c r="E132" s="24"/>
      <c r="F132" s="24"/>
      <c r="G132" s="24"/>
      <c r="H132" s="24"/>
      <c r="I132" s="24"/>
      <c r="J132" s="27"/>
      <c r="K132" s="24"/>
      <c r="L132" s="24"/>
      <c r="M132" s="24"/>
      <c r="N132" s="24"/>
      <c r="O132" s="24"/>
      <c r="P132" s="26"/>
      <c r="Q132" s="26"/>
      <c r="R132" s="26"/>
      <c r="S132" s="34" t="str">
        <f>IF(OR($C132="",$P132=""),"",MAX(0,ROUND(($P132-$C132)*1440,0)))</f>
        <v/>
      </c>
      <c r="T132" s="34" t="str">
        <f>IF(OR($P132="",$Q132=""),"",MAX(0,ROUND(($Q132-$P132)*1440,0)))</f>
        <v/>
      </c>
      <c r="U132" s="34" t="str">
        <f>IF(OR($Q132="",$R132=""),"",MAX(0,ROUND(($R132-$Q132)*1440,0)))</f>
        <v/>
      </c>
      <c r="V132" s="35" t="str">
        <f>IF($A132="","",IF($O132="No-show","Sim","Não"))</f>
        <v/>
      </c>
      <c r="W132" s="32"/>
    </row>
    <row r="133" spans="1:23" x14ac:dyDescent="0.25">
      <c r="A133" s="24"/>
      <c r="B133" s="25"/>
      <c r="C133" s="26"/>
      <c r="D133" s="24"/>
      <c r="E133" s="24"/>
      <c r="F133" s="24"/>
      <c r="G133" s="24"/>
      <c r="H133" s="24"/>
      <c r="I133" s="24"/>
      <c r="J133" s="27"/>
      <c r="K133" s="24"/>
      <c r="L133" s="24"/>
      <c r="M133" s="24"/>
      <c r="N133" s="24"/>
      <c r="O133" s="24"/>
      <c r="P133" s="26"/>
      <c r="Q133" s="26"/>
      <c r="R133" s="26"/>
      <c r="S133" s="34" t="str">
        <f>IF(OR($C133="",$P133=""),"",MAX(0,ROUND(($P133-$C133)*1440,0)))</f>
        <v/>
      </c>
      <c r="T133" s="34" t="str">
        <f>IF(OR($P133="",$Q133=""),"",MAX(0,ROUND(($Q133-$P133)*1440,0)))</f>
        <v/>
      </c>
      <c r="U133" s="34" t="str">
        <f>IF(OR($Q133="",$R133=""),"",MAX(0,ROUND(($R133-$Q133)*1440,0)))</f>
        <v/>
      </c>
      <c r="V133" s="35" t="str">
        <f>IF($A133="","",IF($O133="No-show","Sim","Não"))</f>
        <v/>
      </c>
      <c r="W133" s="32"/>
    </row>
    <row r="134" spans="1:23" x14ac:dyDescent="0.25">
      <c r="A134" s="24"/>
      <c r="B134" s="25"/>
      <c r="C134" s="26"/>
      <c r="D134" s="24"/>
      <c r="E134" s="24"/>
      <c r="F134" s="24"/>
      <c r="G134" s="24"/>
      <c r="H134" s="24"/>
      <c r="I134" s="24"/>
      <c r="J134" s="27"/>
      <c r="K134" s="24"/>
      <c r="L134" s="24"/>
      <c r="M134" s="24"/>
      <c r="N134" s="24"/>
      <c r="O134" s="24"/>
      <c r="P134" s="26"/>
      <c r="Q134" s="26"/>
      <c r="R134" s="26"/>
      <c r="S134" s="34" t="str">
        <f>IF(OR($C134="",$P134=""),"",MAX(0,ROUND(($P134-$C134)*1440,0)))</f>
        <v/>
      </c>
      <c r="T134" s="34" t="str">
        <f>IF(OR($P134="",$Q134=""),"",MAX(0,ROUND(($Q134-$P134)*1440,0)))</f>
        <v/>
      </c>
      <c r="U134" s="34" t="str">
        <f>IF(OR($Q134="",$R134=""),"",MAX(0,ROUND(($R134-$Q134)*1440,0)))</f>
        <v/>
      </c>
      <c r="V134" s="35" t="str">
        <f>IF($A134="","",IF($O134="No-show","Sim","Não"))</f>
        <v/>
      </c>
      <c r="W134" s="32"/>
    </row>
    <row r="135" spans="1:23" x14ac:dyDescent="0.25">
      <c r="A135" s="24"/>
      <c r="B135" s="25"/>
      <c r="C135" s="26"/>
      <c r="D135" s="24"/>
      <c r="E135" s="24"/>
      <c r="F135" s="24"/>
      <c r="G135" s="24"/>
      <c r="H135" s="24"/>
      <c r="I135" s="24"/>
      <c r="J135" s="27"/>
      <c r="K135" s="24"/>
      <c r="L135" s="24"/>
      <c r="M135" s="24"/>
      <c r="N135" s="24"/>
      <c r="O135" s="24"/>
      <c r="P135" s="26"/>
      <c r="Q135" s="26"/>
      <c r="R135" s="26"/>
      <c r="S135" s="34" t="str">
        <f>IF(OR($C135="",$P135=""),"",MAX(0,ROUND(($P135-$C135)*1440,0)))</f>
        <v/>
      </c>
      <c r="T135" s="34" t="str">
        <f>IF(OR($P135="",$Q135=""),"",MAX(0,ROUND(($Q135-$P135)*1440,0)))</f>
        <v/>
      </c>
      <c r="U135" s="34" t="str">
        <f>IF(OR($Q135="",$R135=""),"",MAX(0,ROUND(($R135-$Q135)*1440,0)))</f>
        <v/>
      </c>
      <c r="V135" s="35" t="str">
        <f>IF($A135="","",IF($O135="No-show","Sim","Não"))</f>
        <v/>
      </c>
      <c r="W135" s="32"/>
    </row>
    <row r="136" spans="1:23" x14ac:dyDescent="0.25">
      <c r="A136" s="24"/>
      <c r="B136" s="25"/>
      <c r="C136" s="26"/>
      <c r="D136" s="24"/>
      <c r="E136" s="24"/>
      <c r="F136" s="24"/>
      <c r="G136" s="24"/>
      <c r="H136" s="24"/>
      <c r="I136" s="24"/>
      <c r="J136" s="27"/>
      <c r="K136" s="24"/>
      <c r="L136" s="24"/>
      <c r="M136" s="24"/>
      <c r="N136" s="24"/>
      <c r="O136" s="24"/>
      <c r="P136" s="26"/>
      <c r="Q136" s="26"/>
      <c r="R136" s="26"/>
      <c r="S136" s="34" t="str">
        <f>IF(OR($C136="",$P136=""),"",MAX(0,ROUND(($P136-$C136)*1440,0)))</f>
        <v/>
      </c>
      <c r="T136" s="34" t="str">
        <f>IF(OR($P136="",$Q136=""),"",MAX(0,ROUND(($Q136-$P136)*1440,0)))</f>
        <v/>
      </c>
      <c r="U136" s="34" t="str">
        <f>IF(OR($Q136="",$R136=""),"",MAX(0,ROUND(($R136-$Q136)*1440,0)))</f>
        <v/>
      </c>
      <c r="V136" s="35" t="str">
        <f>IF($A136="","",IF($O136="No-show","Sim","Não"))</f>
        <v/>
      </c>
      <c r="W136" s="32"/>
    </row>
    <row r="137" spans="1:23" x14ac:dyDescent="0.25">
      <c r="A137" s="24"/>
      <c r="B137" s="25"/>
      <c r="C137" s="26"/>
      <c r="D137" s="24"/>
      <c r="E137" s="24"/>
      <c r="F137" s="24"/>
      <c r="G137" s="24"/>
      <c r="H137" s="24"/>
      <c r="I137" s="24"/>
      <c r="J137" s="27"/>
      <c r="K137" s="24"/>
      <c r="L137" s="24"/>
      <c r="M137" s="24"/>
      <c r="N137" s="24"/>
      <c r="O137" s="24"/>
      <c r="P137" s="26"/>
      <c r="Q137" s="26"/>
      <c r="R137" s="26"/>
      <c r="S137" s="34" t="str">
        <f>IF(OR($C137="",$P137=""),"",MAX(0,ROUND(($P137-$C137)*1440,0)))</f>
        <v/>
      </c>
      <c r="T137" s="34" t="str">
        <f>IF(OR($P137="",$Q137=""),"",MAX(0,ROUND(($Q137-$P137)*1440,0)))</f>
        <v/>
      </c>
      <c r="U137" s="34" t="str">
        <f>IF(OR($Q137="",$R137=""),"",MAX(0,ROUND(($R137-$Q137)*1440,0)))</f>
        <v/>
      </c>
      <c r="V137" s="35" t="str">
        <f>IF($A137="","",IF($O137="No-show","Sim","Não"))</f>
        <v/>
      </c>
      <c r="W137" s="32"/>
    </row>
    <row r="138" spans="1:23" x14ac:dyDescent="0.25">
      <c r="A138" s="24"/>
      <c r="B138" s="25"/>
      <c r="C138" s="26"/>
      <c r="D138" s="24"/>
      <c r="E138" s="24"/>
      <c r="F138" s="24"/>
      <c r="G138" s="24"/>
      <c r="H138" s="24"/>
      <c r="I138" s="24"/>
      <c r="J138" s="27"/>
      <c r="K138" s="24"/>
      <c r="L138" s="24"/>
      <c r="M138" s="24"/>
      <c r="N138" s="24"/>
      <c r="O138" s="24"/>
      <c r="P138" s="26"/>
      <c r="Q138" s="26"/>
      <c r="R138" s="26"/>
      <c r="S138" s="34" t="str">
        <f>IF(OR($C138="",$P138=""),"",MAX(0,ROUND(($P138-$C138)*1440,0)))</f>
        <v/>
      </c>
      <c r="T138" s="34" t="str">
        <f>IF(OR($P138="",$Q138=""),"",MAX(0,ROUND(($Q138-$P138)*1440,0)))</f>
        <v/>
      </c>
      <c r="U138" s="34" t="str">
        <f>IF(OR($Q138="",$R138=""),"",MAX(0,ROUND(($R138-$Q138)*1440,0)))</f>
        <v/>
      </c>
      <c r="V138" s="35" t="str">
        <f>IF($A138="","",IF($O138="No-show","Sim","Não"))</f>
        <v/>
      </c>
      <c r="W138" s="32"/>
    </row>
    <row r="139" spans="1:23" x14ac:dyDescent="0.25">
      <c r="A139" s="24"/>
      <c r="B139" s="25"/>
      <c r="C139" s="26"/>
      <c r="D139" s="24"/>
      <c r="E139" s="24"/>
      <c r="F139" s="24"/>
      <c r="G139" s="24"/>
      <c r="H139" s="24"/>
      <c r="I139" s="24"/>
      <c r="J139" s="27"/>
      <c r="K139" s="24"/>
      <c r="L139" s="24"/>
      <c r="M139" s="24"/>
      <c r="N139" s="24"/>
      <c r="O139" s="24"/>
      <c r="P139" s="26"/>
      <c r="Q139" s="26"/>
      <c r="R139" s="26"/>
      <c r="S139" s="34" t="str">
        <f>IF(OR($C139="",$P139=""),"",MAX(0,ROUND(($P139-$C139)*1440,0)))</f>
        <v/>
      </c>
      <c r="T139" s="34" t="str">
        <f>IF(OR($P139="",$Q139=""),"",MAX(0,ROUND(($Q139-$P139)*1440,0)))</f>
        <v/>
      </c>
      <c r="U139" s="34" t="str">
        <f>IF(OR($Q139="",$R139=""),"",MAX(0,ROUND(($R139-$Q139)*1440,0)))</f>
        <v/>
      </c>
      <c r="V139" s="35" t="str">
        <f>IF($A139="","",IF($O139="No-show","Sim","Não"))</f>
        <v/>
      </c>
      <c r="W139" s="32"/>
    </row>
    <row r="140" spans="1:23" x14ac:dyDescent="0.25">
      <c r="A140" s="24"/>
      <c r="B140" s="25"/>
      <c r="C140" s="26"/>
      <c r="D140" s="24"/>
      <c r="E140" s="24"/>
      <c r="F140" s="24"/>
      <c r="G140" s="24"/>
      <c r="H140" s="24"/>
      <c r="I140" s="24"/>
      <c r="J140" s="27"/>
      <c r="K140" s="24"/>
      <c r="L140" s="24"/>
      <c r="M140" s="24"/>
      <c r="N140" s="24"/>
      <c r="O140" s="24"/>
      <c r="P140" s="26"/>
      <c r="Q140" s="26"/>
      <c r="R140" s="26"/>
      <c r="S140" s="34" t="str">
        <f>IF(OR($C140="",$P140=""),"",MAX(0,ROUND(($P140-$C140)*1440,0)))</f>
        <v/>
      </c>
      <c r="T140" s="34" t="str">
        <f>IF(OR($P140="",$Q140=""),"",MAX(0,ROUND(($Q140-$P140)*1440,0)))</f>
        <v/>
      </c>
      <c r="U140" s="34" t="str">
        <f>IF(OR($Q140="",$R140=""),"",MAX(0,ROUND(($R140-$Q140)*1440,0)))</f>
        <v/>
      </c>
      <c r="V140" s="35" t="str">
        <f>IF($A140="","",IF($O140="No-show","Sim","Não"))</f>
        <v/>
      </c>
      <c r="W140" s="32"/>
    </row>
    <row r="141" spans="1:23" x14ac:dyDescent="0.25">
      <c r="A141" s="24"/>
      <c r="B141" s="25"/>
      <c r="C141" s="26"/>
      <c r="D141" s="24"/>
      <c r="E141" s="24"/>
      <c r="F141" s="24"/>
      <c r="G141" s="24"/>
      <c r="H141" s="24"/>
      <c r="I141" s="24"/>
      <c r="J141" s="27"/>
      <c r="K141" s="24"/>
      <c r="L141" s="24"/>
      <c r="M141" s="24"/>
      <c r="N141" s="24"/>
      <c r="O141" s="24"/>
      <c r="P141" s="26"/>
      <c r="Q141" s="26"/>
      <c r="R141" s="26"/>
      <c r="S141" s="34" t="str">
        <f>IF(OR($C141="",$P141=""),"",MAX(0,ROUND(($P141-$C141)*1440,0)))</f>
        <v/>
      </c>
      <c r="T141" s="34" t="str">
        <f>IF(OR($P141="",$Q141=""),"",MAX(0,ROUND(($Q141-$P141)*1440,0)))</f>
        <v/>
      </c>
      <c r="U141" s="34" t="str">
        <f>IF(OR($Q141="",$R141=""),"",MAX(0,ROUND(($R141-$Q141)*1440,0)))</f>
        <v/>
      </c>
      <c r="V141" s="35" t="str">
        <f>IF($A141="","",IF($O141="No-show","Sim","Não"))</f>
        <v/>
      </c>
      <c r="W141" s="32"/>
    </row>
    <row r="142" spans="1:23" x14ac:dyDescent="0.25">
      <c r="A142" s="24"/>
      <c r="B142" s="25"/>
      <c r="C142" s="26"/>
      <c r="D142" s="24"/>
      <c r="E142" s="24"/>
      <c r="F142" s="24"/>
      <c r="G142" s="24"/>
      <c r="H142" s="24"/>
      <c r="I142" s="24"/>
      <c r="J142" s="27"/>
      <c r="K142" s="24"/>
      <c r="L142" s="24"/>
      <c r="M142" s="24"/>
      <c r="N142" s="24"/>
      <c r="O142" s="24"/>
      <c r="P142" s="26"/>
      <c r="Q142" s="26"/>
      <c r="R142" s="26"/>
      <c r="S142" s="34" t="str">
        <f>IF(OR($C142="",$P142=""),"",MAX(0,ROUND(($P142-$C142)*1440,0)))</f>
        <v/>
      </c>
      <c r="T142" s="34" t="str">
        <f>IF(OR($P142="",$Q142=""),"",MAX(0,ROUND(($Q142-$P142)*1440,0)))</f>
        <v/>
      </c>
      <c r="U142" s="34" t="str">
        <f>IF(OR($Q142="",$R142=""),"",MAX(0,ROUND(($R142-$Q142)*1440,0)))</f>
        <v/>
      </c>
      <c r="V142" s="35" t="str">
        <f>IF($A142="","",IF($O142="No-show","Sim","Não"))</f>
        <v/>
      </c>
      <c r="W142" s="32"/>
    </row>
    <row r="143" spans="1:23" x14ac:dyDescent="0.25">
      <c r="A143" s="24"/>
      <c r="B143" s="25"/>
      <c r="C143" s="26"/>
      <c r="D143" s="24"/>
      <c r="E143" s="24"/>
      <c r="F143" s="24"/>
      <c r="G143" s="24"/>
      <c r="H143" s="24"/>
      <c r="I143" s="24"/>
      <c r="J143" s="27"/>
      <c r="K143" s="24"/>
      <c r="L143" s="24"/>
      <c r="M143" s="24"/>
      <c r="N143" s="24"/>
      <c r="O143" s="24"/>
      <c r="P143" s="26"/>
      <c r="Q143" s="26"/>
      <c r="R143" s="26"/>
      <c r="S143" s="34" t="str">
        <f>IF(OR($C143="",$P143=""),"",MAX(0,ROUND(($P143-$C143)*1440,0)))</f>
        <v/>
      </c>
      <c r="T143" s="34" t="str">
        <f>IF(OR($P143="",$Q143=""),"",MAX(0,ROUND(($Q143-$P143)*1440,0)))</f>
        <v/>
      </c>
      <c r="U143" s="34" t="str">
        <f>IF(OR($Q143="",$R143=""),"",MAX(0,ROUND(($R143-$Q143)*1440,0)))</f>
        <v/>
      </c>
      <c r="V143" s="35" t="str">
        <f>IF($A143="","",IF($O143="No-show","Sim","Não"))</f>
        <v/>
      </c>
      <c r="W143" s="32"/>
    </row>
    <row r="144" spans="1:23" x14ac:dyDescent="0.25">
      <c r="A144" s="24"/>
      <c r="B144" s="25"/>
      <c r="C144" s="26"/>
      <c r="D144" s="24"/>
      <c r="E144" s="24"/>
      <c r="F144" s="24"/>
      <c r="G144" s="24"/>
      <c r="H144" s="24"/>
      <c r="I144" s="24"/>
      <c r="J144" s="27"/>
      <c r="K144" s="24"/>
      <c r="L144" s="24"/>
      <c r="M144" s="24"/>
      <c r="N144" s="24"/>
      <c r="O144" s="24"/>
      <c r="P144" s="26"/>
      <c r="Q144" s="26"/>
      <c r="R144" s="26"/>
      <c r="S144" s="34" t="str">
        <f>IF(OR($C144="",$P144=""),"",MAX(0,ROUND(($P144-$C144)*1440,0)))</f>
        <v/>
      </c>
      <c r="T144" s="34" t="str">
        <f>IF(OR($P144="",$Q144=""),"",MAX(0,ROUND(($Q144-$P144)*1440,0)))</f>
        <v/>
      </c>
      <c r="U144" s="34" t="str">
        <f>IF(OR($Q144="",$R144=""),"",MAX(0,ROUND(($R144-$Q144)*1440,0)))</f>
        <v/>
      </c>
      <c r="V144" s="35" t="str">
        <f>IF($A144="","",IF($O144="No-show","Sim","Não"))</f>
        <v/>
      </c>
      <c r="W144" s="32"/>
    </row>
    <row r="145" spans="1:23" x14ac:dyDescent="0.25">
      <c r="A145" s="24"/>
      <c r="B145" s="25"/>
      <c r="C145" s="26"/>
      <c r="D145" s="24"/>
      <c r="E145" s="24"/>
      <c r="F145" s="24"/>
      <c r="G145" s="24"/>
      <c r="H145" s="24"/>
      <c r="I145" s="24"/>
      <c r="J145" s="27"/>
      <c r="K145" s="24"/>
      <c r="L145" s="24"/>
      <c r="M145" s="24"/>
      <c r="N145" s="24"/>
      <c r="O145" s="24"/>
      <c r="P145" s="26"/>
      <c r="Q145" s="26"/>
      <c r="R145" s="26"/>
      <c r="S145" s="34" t="str">
        <f>IF(OR($C145="",$P145=""),"",MAX(0,ROUND(($P145-$C145)*1440,0)))</f>
        <v/>
      </c>
      <c r="T145" s="34" t="str">
        <f>IF(OR($P145="",$Q145=""),"",MAX(0,ROUND(($Q145-$P145)*1440,0)))</f>
        <v/>
      </c>
      <c r="U145" s="34" t="str">
        <f>IF(OR($Q145="",$R145=""),"",MAX(0,ROUND(($R145-$Q145)*1440,0)))</f>
        <v/>
      </c>
      <c r="V145" s="35" t="str">
        <f>IF($A145="","",IF($O145="No-show","Sim","Não"))</f>
        <v/>
      </c>
      <c r="W145" s="32"/>
    </row>
    <row r="146" spans="1:23" x14ac:dyDescent="0.25">
      <c r="A146" s="24"/>
      <c r="B146" s="25"/>
      <c r="C146" s="26"/>
      <c r="D146" s="24"/>
      <c r="E146" s="24"/>
      <c r="F146" s="24"/>
      <c r="G146" s="24"/>
      <c r="H146" s="24"/>
      <c r="I146" s="24"/>
      <c r="J146" s="27"/>
      <c r="K146" s="24"/>
      <c r="L146" s="24"/>
      <c r="M146" s="24"/>
      <c r="N146" s="24"/>
      <c r="O146" s="24"/>
      <c r="P146" s="26"/>
      <c r="Q146" s="26"/>
      <c r="R146" s="26"/>
      <c r="S146" s="34" t="str">
        <f>IF(OR($C146="",$P146=""),"",MAX(0,ROUND(($P146-$C146)*1440,0)))</f>
        <v/>
      </c>
      <c r="T146" s="34" t="str">
        <f>IF(OR($P146="",$Q146=""),"",MAX(0,ROUND(($Q146-$P146)*1440,0)))</f>
        <v/>
      </c>
      <c r="U146" s="34" t="str">
        <f>IF(OR($Q146="",$R146=""),"",MAX(0,ROUND(($R146-$Q146)*1440,0)))</f>
        <v/>
      </c>
      <c r="V146" s="35" t="str">
        <f>IF($A146="","",IF($O146="No-show","Sim","Não"))</f>
        <v/>
      </c>
      <c r="W146" s="32"/>
    </row>
    <row r="147" spans="1:23" x14ac:dyDescent="0.25">
      <c r="A147" s="24"/>
      <c r="B147" s="25"/>
      <c r="C147" s="26"/>
      <c r="D147" s="24"/>
      <c r="E147" s="24"/>
      <c r="F147" s="24"/>
      <c r="G147" s="24"/>
      <c r="H147" s="24"/>
      <c r="I147" s="24"/>
      <c r="J147" s="27"/>
      <c r="K147" s="24"/>
      <c r="L147" s="24"/>
      <c r="M147" s="24"/>
      <c r="N147" s="24"/>
      <c r="O147" s="24"/>
      <c r="P147" s="26"/>
      <c r="Q147" s="26"/>
      <c r="R147" s="26"/>
      <c r="S147" s="34" t="str">
        <f>IF(OR($C147="",$P147=""),"",MAX(0,ROUND(($P147-$C147)*1440,0)))</f>
        <v/>
      </c>
      <c r="T147" s="34" t="str">
        <f>IF(OR($P147="",$Q147=""),"",MAX(0,ROUND(($Q147-$P147)*1440,0)))</f>
        <v/>
      </c>
      <c r="U147" s="34" t="str">
        <f>IF(OR($Q147="",$R147=""),"",MAX(0,ROUND(($R147-$Q147)*1440,0)))</f>
        <v/>
      </c>
      <c r="V147" s="35" t="str">
        <f>IF($A147="","",IF($O147="No-show","Sim","Não"))</f>
        <v/>
      </c>
      <c r="W147" s="32"/>
    </row>
    <row r="148" spans="1:23" x14ac:dyDescent="0.25">
      <c r="A148" s="24"/>
      <c r="B148" s="25"/>
      <c r="C148" s="26"/>
      <c r="D148" s="24"/>
      <c r="E148" s="24"/>
      <c r="F148" s="24"/>
      <c r="G148" s="24"/>
      <c r="H148" s="24"/>
      <c r="I148" s="24"/>
      <c r="J148" s="27"/>
      <c r="K148" s="24"/>
      <c r="L148" s="24"/>
      <c r="M148" s="24"/>
      <c r="N148" s="24"/>
      <c r="O148" s="24"/>
      <c r="P148" s="26"/>
      <c r="Q148" s="26"/>
      <c r="R148" s="26"/>
      <c r="S148" s="34" t="str">
        <f>IF(OR($C148="",$P148=""),"",MAX(0,ROUND(($P148-$C148)*1440,0)))</f>
        <v/>
      </c>
      <c r="T148" s="34" t="str">
        <f>IF(OR($P148="",$Q148=""),"",MAX(0,ROUND(($Q148-$P148)*1440,0)))</f>
        <v/>
      </c>
      <c r="U148" s="34" t="str">
        <f>IF(OR($Q148="",$R148=""),"",MAX(0,ROUND(($R148-$Q148)*1440,0)))</f>
        <v/>
      </c>
      <c r="V148" s="35" t="str">
        <f>IF($A148="","",IF($O148="No-show","Sim","Não"))</f>
        <v/>
      </c>
      <c r="W148" s="32"/>
    </row>
    <row r="149" spans="1:23" x14ac:dyDescent="0.25">
      <c r="A149" s="24"/>
      <c r="B149" s="25"/>
      <c r="C149" s="26"/>
      <c r="D149" s="24"/>
      <c r="E149" s="24"/>
      <c r="F149" s="24"/>
      <c r="G149" s="24"/>
      <c r="H149" s="24"/>
      <c r="I149" s="24"/>
      <c r="J149" s="27"/>
      <c r="K149" s="24"/>
      <c r="L149" s="24"/>
      <c r="M149" s="24"/>
      <c r="N149" s="24"/>
      <c r="O149" s="24"/>
      <c r="P149" s="26"/>
      <c r="Q149" s="26"/>
      <c r="R149" s="26"/>
      <c r="S149" s="34" t="str">
        <f>IF(OR($C149="",$P149=""),"",MAX(0,ROUND(($P149-$C149)*1440,0)))</f>
        <v/>
      </c>
      <c r="T149" s="34" t="str">
        <f>IF(OR($P149="",$Q149=""),"",MAX(0,ROUND(($Q149-$P149)*1440,0)))</f>
        <v/>
      </c>
      <c r="U149" s="34" t="str">
        <f>IF(OR($Q149="",$R149=""),"",MAX(0,ROUND(($R149-$Q149)*1440,0)))</f>
        <v/>
      </c>
      <c r="V149" s="35" t="str">
        <f>IF($A149="","",IF($O149="No-show","Sim","Não"))</f>
        <v/>
      </c>
      <c r="W149" s="32"/>
    </row>
    <row r="150" spans="1:23" x14ac:dyDescent="0.25">
      <c r="A150" s="24"/>
      <c r="B150" s="25"/>
      <c r="C150" s="26"/>
      <c r="D150" s="24"/>
      <c r="E150" s="24"/>
      <c r="F150" s="24"/>
      <c r="G150" s="24"/>
      <c r="H150" s="24"/>
      <c r="I150" s="24"/>
      <c r="J150" s="27"/>
      <c r="K150" s="24"/>
      <c r="L150" s="24"/>
      <c r="M150" s="24"/>
      <c r="N150" s="24"/>
      <c r="O150" s="24"/>
      <c r="P150" s="26"/>
      <c r="Q150" s="26"/>
      <c r="R150" s="26"/>
      <c r="S150" s="34" t="str">
        <f>IF(OR($C150="",$P150=""),"",MAX(0,ROUND(($P150-$C150)*1440,0)))</f>
        <v/>
      </c>
      <c r="T150" s="34" t="str">
        <f>IF(OR($P150="",$Q150=""),"",MAX(0,ROUND(($Q150-$P150)*1440,0)))</f>
        <v/>
      </c>
      <c r="U150" s="34" t="str">
        <f>IF(OR($Q150="",$R150=""),"",MAX(0,ROUND(($R150-$Q150)*1440,0)))</f>
        <v/>
      </c>
      <c r="V150" s="35" t="str">
        <f>IF($A150="","",IF($O150="No-show","Sim","Não"))</f>
        <v/>
      </c>
      <c r="W150" s="32"/>
    </row>
    <row r="151" spans="1:23" x14ac:dyDescent="0.25">
      <c r="A151" s="24"/>
      <c r="B151" s="25"/>
      <c r="C151" s="26"/>
      <c r="D151" s="24"/>
      <c r="E151" s="24"/>
      <c r="F151" s="24"/>
      <c r="G151" s="24"/>
      <c r="H151" s="24"/>
      <c r="I151" s="24"/>
      <c r="J151" s="27"/>
      <c r="K151" s="24"/>
      <c r="L151" s="24"/>
      <c r="M151" s="24"/>
      <c r="N151" s="24"/>
      <c r="O151" s="24"/>
      <c r="P151" s="26"/>
      <c r="Q151" s="26"/>
      <c r="R151" s="26"/>
      <c r="S151" s="34" t="str">
        <f>IF(OR($C151="",$P151=""),"",MAX(0,ROUND(($P151-$C151)*1440,0)))</f>
        <v/>
      </c>
      <c r="T151" s="34" t="str">
        <f>IF(OR($P151="",$Q151=""),"",MAX(0,ROUND(($Q151-$P151)*1440,0)))</f>
        <v/>
      </c>
      <c r="U151" s="34" t="str">
        <f>IF(OR($Q151="",$R151=""),"",MAX(0,ROUND(($R151-$Q151)*1440,0)))</f>
        <v/>
      </c>
      <c r="V151" s="35" t="str">
        <f>IF($A151="","",IF($O151="No-show","Sim","Não"))</f>
        <v/>
      </c>
      <c r="W151" s="32"/>
    </row>
    <row r="152" spans="1:23" x14ac:dyDescent="0.25">
      <c r="A152" s="24"/>
      <c r="B152" s="25"/>
      <c r="C152" s="26"/>
      <c r="D152" s="24"/>
      <c r="E152" s="24"/>
      <c r="F152" s="24"/>
      <c r="G152" s="24"/>
      <c r="H152" s="24"/>
      <c r="I152" s="24"/>
      <c r="J152" s="27"/>
      <c r="K152" s="24"/>
      <c r="L152" s="24"/>
      <c r="M152" s="24"/>
      <c r="N152" s="24"/>
      <c r="O152" s="24"/>
      <c r="P152" s="26"/>
      <c r="Q152" s="26"/>
      <c r="R152" s="26"/>
      <c r="S152" s="34" t="str">
        <f>IF(OR($C152="",$P152=""),"",MAX(0,ROUND(($P152-$C152)*1440,0)))</f>
        <v/>
      </c>
      <c r="T152" s="34" t="str">
        <f>IF(OR($P152="",$Q152=""),"",MAX(0,ROUND(($Q152-$P152)*1440,0)))</f>
        <v/>
      </c>
      <c r="U152" s="34" t="str">
        <f>IF(OR($Q152="",$R152=""),"",MAX(0,ROUND(($R152-$Q152)*1440,0)))</f>
        <v/>
      </c>
      <c r="V152" s="35" t="str">
        <f>IF($A152="","",IF($O152="No-show","Sim","Não"))</f>
        <v/>
      </c>
      <c r="W152" s="32"/>
    </row>
    <row r="153" spans="1:23" x14ac:dyDescent="0.25">
      <c r="A153" s="24"/>
      <c r="B153" s="25"/>
      <c r="C153" s="26"/>
      <c r="D153" s="24"/>
      <c r="E153" s="24"/>
      <c r="F153" s="24"/>
      <c r="G153" s="24"/>
      <c r="H153" s="24"/>
      <c r="I153" s="24"/>
      <c r="J153" s="27"/>
      <c r="K153" s="24"/>
      <c r="L153" s="24"/>
      <c r="M153" s="24"/>
      <c r="N153" s="24"/>
      <c r="O153" s="24"/>
      <c r="P153" s="26"/>
      <c r="Q153" s="26"/>
      <c r="R153" s="26"/>
      <c r="S153" s="34" t="str">
        <f>IF(OR($C153="",$P153=""),"",MAX(0,ROUND(($P153-$C153)*1440,0)))</f>
        <v/>
      </c>
      <c r="T153" s="34" t="str">
        <f>IF(OR($P153="",$Q153=""),"",MAX(0,ROUND(($Q153-$P153)*1440,0)))</f>
        <v/>
      </c>
      <c r="U153" s="34" t="str">
        <f>IF(OR($Q153="",$R153=""),"",MAX(0,ROUND(($R153-$Q153)*1440,0)))</f>
        <v/>
      </c>
      <c r="V153" s="35" t="str">
        <f>IF($A153="","",IF($O153="No-show","Sim","Não"))</f>
        <v/>
      </c>
      <c r="W153" s="32"/>
    </row>
    <row r="154" spans="1:23" x14ac:dyDescent="0.25">
      <c r="A154" s="24"/>
      <c r="B154" s="25"/>
      <c r="C154" s="26"/>
      <c r="D154" s="24"/>
      <c r="E154" s="24"/>
      <c r="F154" s="24"/>
      <c r="G154" s="24"/>
      <c r="H154" s="24"/>
      <c r="I154" s="24"/>
      <c r="J154" s="27"/>
      <c r="K154" s="24"/>
      <c r="L154" s="24"/>
      <c r="M154" s="24"/>
      <c r="N154" s="24"/>
      <c r="O154" s="24"/>
      <c r="P154" s="26"/>
      <c r="Q154" s="26"/>
      <c r="R154" s="26"/>
      <c r="S154" s="34" t="str">
        <f>IF(OR($C154="",$P154=""),"",MAX(0,ROUND(($P154-$C154)*1440,0)))</f>
        <v/>
      </c>
      <c r="T154" s="34" t="str">
        <f>IF(OR($P154="",$Q154=""),"",MAX(0,ROUND(($Q154-$P154)*1440,0)))</f>
        <v/>
      </c>
      <c r="U154" s="34" t="str">
        <f>IF(OR($Q154="",$R154=""),"",MAX(0,ROUND(($R154-$Q154)*1440,0)))</f>
        <v/>
      </c>
      <c r="V154" s="35" t="str">
        <f>IF($A154="","",IF($O154="No-show","Sim","Não"))</f>
        <v/>
      </c>
      <c r="W154" s="32"/>
    </row>
    <row r="155" spans="1:23" x14ac:dyDescent="0.25">
      <c r="A155" s="24"/>
      <c r="B155" s="25"/>
      <c r="C155" s="26"/>
      <c r="D155" s="24"/>
      <c r="E155" s="24"/>
      <c r="F155" s="24"/>
      <c r="G155" s="24"/>
      <c r="H155" s="24"/>
      <c r="I155" s="24"/>
      <c r="J155" s="27"/>
      <c r="K155" s="24"/>
      <c r="L155" s="24"/>
      <c r="M155" s="24"/>
      <c r="N155" s="24"/>
      <c r="O155" s="24"/>
      <c r="P155" s="26"/>
      <c r="Q155" s="26"/>
      <c r="R155" s="26"/>
      <c r="S155" s="34" t="str">
        <f>IF(OR($C155="",$P155=""),"",MAX(0,ROUND(($P155-$C155)*1440,0)))</f>
        <v/>
      </c>
      <c r="T155" s="34" t="str">
        <f>IF(OR($P155="",$Q155=""),"",MAX(0,ROUND(($Q155-$P155)*1440,0)))</f>
        <v/>
      </c>
      <c r="U155" s="34" t="str">
        <f>IF(OR($Q155="",$R155=""),"",MAX(0,ROUND(($R155-$Q155)*1440,0)))</f>
        <v/>
      </c>
      <c r="V155" s="35" t="str">
        <f>IF($A155="","",IF($O155="No-show","Sim","Não"))</f>
        <v/>
      </c>
      <c r="W155" s="32"/>
    </row>
    <row r="156" spans="1:23" x14ac:dyDescent="0.25">
      <c r="A156" s="24"/>
      <c r="B156" s="25"/>
      <c r="C156" s="26"/>
      <c r="D156" s="24"/>
      <c r="E156" s="24"/>
      <c r="F156" s="24"/>
      <c r="G156" s="24"/>
      <c r="H156" s="24"/>
      <c r="I156" s="24"/>
      <c r="J156" s="27"/>
      <c r="K156" s="24"/>
      <c r="L156" s="24"/>
      <c r="M156" s="24"/>
      <c r="N156" s="24"/>
      <c r="O156" s="24"/>
      <c r="P156" s="26"/>
      <c r="Q156" s="26"/>
      <c r="R156" s="26"/>
      <c r="S156" s="34" t="str">
        <f>IF(OR($C156="",$P156=""),"",MAX(0,ROUND(($P156-$C156)*1440,0)))</f>
        <v/>
      </c>
      <c r="T156" s="34" t="str">
        <f>IF(OR($P156="",$Q156=""),"",MAX(0,ROUND(($Q156-$P156)*1440,0)))</f>
        <v/>
      </c>
      <c r="U156" s="34" t="str">
        <f>IF(OR($Q156="",$R156=""),"",MAX(0,ROUND(($R156-$Q156)*1440,0)))</f>
        <v/>
      </c>
      <c r="V156" s="35" t="str">
        <f>IF($A156="","",IF($O156="No-show","Sim","Não"))</f>
        <v/>
      </c>
      <c r="W156" s="32"/>
    </row>
    <row r="157" spans="1:23" x14ac:dyDescent="0.25">
      <c r="A157" s="24"/>
      <c r="B157" s="25"/>
      <c r="C157" s="26"/>
      <c r="D157" s="24"/>
      <c r="E157" s="24"/>
      <c r="F157" s="24"/>
      <c r="G157" s="24"/>
      <c r="H157" s="24"/>
      <c r="I157" s="24"/>
      <c r="J157" s="27"/>
      <c r="K157" s="24"/>
      <c r="L157" s="24"/>
      <c r="M157" s="24"/>
      <c r="N157" s="24"/>
      <c r="O157" s="24"/>
      <c r="P157" s="26"/>
      <c r="Q157" s="26"/>
      <c r="R157" s="26"/>
      <c r="S157" s="34" t="str">
        <f>IF(OR($C157="",$P157=""),"",MAX(0,ROUND(($P157-$C157)*1440,0)))</f>
        <v/>
      </c>
      <c r="T157" s="34" t="str">
        <f>IF(OR($P157="",$Q157=""),"",MAX(0,ROUND(($Q157-$P157)*1440,0)))</f>
        <v/>
      </c>
      <c r="U157" s="34" t="str">
        <f>IF(OR($Q157="",$R157=""),"",MAX(0,ROUND(($R157-$Q157)*1440,0)))</f>
        <v/>
      </c>
      <c r="V157" s="35" t="str">
        <f>IF($A157="","",IF($O157="No-show","Sim","Não"))</f>
        <v/>
      </c>
      <c r="W157" s="32"/>
    </row>
    <row r="158" spans="1:23" x14ac:dyDescent="0.25">
      <c r="A158" s="24"/>
      <c r="B158" s="25"/>
      <c r="C158" s="26"/>
      <c r="D158" s="24"/>
      <c r="E158" s="24"/>
      <c r="F158" s="24"/>
      <c r="G158" s="24"/>
      <c r="H158" s="24"/>
      <c r="I158" s="24"/>
      <c r="J158" s="27"/>
      <c r="K158" s="24"/>
      <c r="L158" s="24"/>
      <c r="M158" s="24"/>
      <c r="N158" s="24"/>
      <c r="O158" s="24"/>
      <c r="P158" s="26"/>
      <c r="Q158" s="26"/>
      <c r="R158" s="26"/>
      <c r="S158" s="34" t="str">
        <f>IF(OR($C158="",$P158=""),"",MAX(0,ROUND(($P158-$C158)*1440,0)))</f>
        <v/>
      </c>
      <c r="T158" s="34" t="str">
        <f>IF(OR($P158="",$Q158=""),"",MAX(0,ROUND(($Q158-$P158)*1440,0)))</f>
        <v/>
      </c>
      <c r="U158" s="34" t="str">
        <f>IF(OR($Q158="",$R158=""),"",MAX(0,ROUND(($R158-$Q158)*1440,0)))</f>
        <v/>
      </c>
      <c r="V158" s="35" t="str">
        <f>IF($A158="","",IF($O158="No-show","Sim","Não"))</f>
        <v/>
      </c>
      <c r="W158" s="32"/>
    </row>
    <row r="159" spans="1:23" x14ac:dyDescent="0.25">
      <c r="A159" s="24"/>
      <c r="B159" s="25"/>
      <c r="C159" s="26"/>
      <c r="D159" s="24"/>
      <c r="E159" s="24"/>
      <c r="F159" s="24"/>
      <c r="G159" s="24"/>
      <c r="H159" s="24"/>
      <c r="I159" s="24"/>
      <c r="J159" s="27"/>
      <c r="K159" s="24"/>
      <c r="L159" s="24"/>
      <c r="M159" s="24"/>
      <c r="N159" s="24"/>
      <c r="O159" s="24"/>
      <c r="P159" s="26"/>
      <c r="Q159" s="26"/>
      <c r="R159" s="26"/>
      <c r="S159" s="34" t="str">
        <f>IF(OR($C159="",$P159=""),"",MAX(0,ROUND(($P159-$C159)*1440,0)))</f>
        <v/>
      </c>
      <c r="T159" s="34" t="str">
        <f>IF(OR($P159="",$Q159=""),"",MAX(0,ROUND(($Q159-$P159)*1440,0)))</f>
        <v/>
      </c>
      <c r="U159" s="34" t="str">
        <f>IF(OR($Q159="",$R159=""),"",MAX(0,ROUND(($R159-$Q159)*1440,0)))</f>
        <v/>
      </c>
      <c r="V159" s="35" t="str">
        <f>IF($A159="","",IF($O159="No-show","Sim","Não"))</f>
        <v/>
      </c>
      <c r="W159" s="32"/>
    </row>
    <row r="160" spans="1:23" x14ac:dyDescent="0.25">
      <c r="A160" s="24"/>
      <c r="B160" s="25"/>
      <c r="C160" s="26"/>
      <c r="D160" s="24"/>
      <c r="E160" s="24"/>
      <c r="F160" s="24"/>
      <c r="G160" s="24"/>
      <c r="H160" s="24"/>
      <c r="I160" s="24"/>
      <c r="J160" s="27"/>
      <c r="K160" s="24"/>
      <c r="L160" s="24"/>
      <c r="M160" s="24"/>
      <c r="N160" s="24"/>
      <c r="O160" s="24"/>
      <c r="P160" s="26"/>
      <c r="Q160" s="26"/>
      <c r="R160" s="26"/>
      <c r="S160" s="34" t="str">
        <f>IF(OR($C160="",$P160=""),"",MAX(0,ROUND(($P160-$C160)*1440,0)))</f>
        <v/>
      </c>
      <c r="T160" s="34" t="str">
        <f>IF(OR($P160="",$Q160=""),"",MAX(0,ROUND(($Q160-$P160)*1440,0)))</f>
        <v/>
      </c>
      <c r="U160" s="34" t="str">
        <f>IF(OR($Q160="",$R160=""),"",MAX(0,ROUND(($R160-$Q160)*1440,0)))</f>
        <v/>
      </c>
      <c r="V160" s="35" t="str">
        <f>IF($A160="","",IF($O160="No-show","Sim","Não"))</f>
        <v/>
      </c>
      <c r="W160" s="32"/>
    </row>
    <row r="161" spans="1:23" x14ac:dyDescent="0.25">
      <c r="A161" s="24"/>
      <c r="B161" s="25"/>
      <c r="C161" s="26"/>
      <c r="D161" s="24"/>
      <c r="E161" s="24"/>
      <c r="F161" s="24"/>
      <c r="G161" s="24"/>
      <c r="H161" s="24"/>
      <c r="I161" s="24"/>
      <c r="J161" s="27"/>
      <c r="K161" s="24"/>
      <c r="L161" s="24"/>
      <c r="M161" s="24"/>
      <c r="N161" s="24"/>
      <c r="O161" s="24"/>
      <c r="P161" s="26"/>
      <c r="Q161" s="26"/>
      <c r="R161" s="26"/>
      <c r="S161" s="34" t="str">
        <f>IF(OR($C161="",$P161=""),"",MAX(0,ROUND(($P161-$C161)*1440,0)))</f>
        <v/>
      </c>
      <c r="T161" s="34" t="str">
        <f>IF(OR($P161="",$Q161=""),"",MAX(0,ROUND(($Q161-$P161)*1440,0)))</f>
        <v/>
      </c>
      <c r="U161" s="34" t="str">
        <f>IF(OR($Q161="",$R161=""),"",MAX(0,ROUND(($R161-$Q161)*1440,0)))</f>
        <v/>
      </c>
      <c r="V161" s="35" t="str">
        <f>IF($A161="","",IF($O161="No-show","Sim","Não"))</f>
        <v/>
      </c>
      <c r="W161" s="32"/>
    </row>
    <row r="162" spans="1:23" x14ac:dyDescent="0.25">
      <c r="A162" s="24"/>
      <c r="B162" s="25"/>
      <c r="C162" s="26"/>
      <c r="D162" s="24"/>
      <c r="E162" s="24"/>
      <c r="F162" s="24"/>
      <c r="G162" s="24"/>
      <c r="H162" s="24"/>
      <c r="I162" s="24"/>
      <c r="J162" s="27"/>
      <c r="K162" s="24"/>
      <c r="L162" s="24"/>
      <c r="M162" s="24"/>
      <c r="N162" s="24"/>
      <c r="O162" s="24"/>
      <c r="P162" s="26"/>
      <c r="Q162" s="26"/>
      <c r="R162" s="26"/>
      <c r="S162" s="34" t="str">
        <f>IF(OR($C162="",$P162=""),"",MAX(0,ROUND(($P162-$C162)*1440,0)))</f>
        <v/>
      </c>
      <c r="T162" s="34" t="str">
        <f>IF(OR($P162="",$Q162=""),"",MAX(0,ROUND(($Q162-$P162)*1440,0)))</f>
        <v/>
      </c>
      <c r="U162" s="34" t="str">
        <f>IF(OR($Q162="",$R162=""),"",MAX(0,ROUND(($R162-$Q162)*1440,0)))</f>
        <v/>
      </c>
      <c r="V162" s="35" t="str">
        <f>IF($A162="","",IF($O162="No-show","Sim","Não"))</f>
        <v/>
      </c>
      <c r="W162" s="32"/>
    </row>
    <row r="163" spans="1:23" x14ac:dyDescent="0.25">
      <c r="A163" s="24"/>
      <c r="B163" s="25"/>
      <c r="C163" s="26"/>
      <c r="D163" s="24"/>
      <c r="E163" s="24"/>
      <c r="F163" s="24"/>
      <c r="G163" s="24"/>
      <c r="H163" s="24"/>
      <c r="I163" s="24"/>
      <c r="J163" s="27"/>
      <c r="K163" s="24"/>
      <c r="L163" s="24"/>
      <c r="M163" s="24"/>
      <c r="N163" s="24"/>
      <c r="O163" s="24"/>
      <c r="P163" s="26"/>
      <c r="Q163" s="26"/>
      <c r="R163" s="26"/>
      <c r="S163" s="34" t="str">
        <f>IF(OR($C163="",$P163=""),"",MAX(0,ROUND(($P163-$C163)*1440,0)))</f>
        <v/>
      </c>
      <c r="T163" s="34" t="str">
        <f>IF(OR($P163="",$Q163=""),"",MAX(0,ROUND(($Q163-$P163)*1440,0)))</f>
        <v/>
      </c>
      <c r="U163" s="34" t="str">
        <f>IF(OR($Q163="",$R163=""),"",MAX(0,ROUND(($R163-$Q163)*1440,0)))</f>
        <v/>
      </c>
      <c r="V163" s="35" t="str">
        <f>IF($A163="","",IF($O163="No-show","Sim","Não"))</f>
        <v/>
      </c>
      <c r="W163" s="32"/>
    </row>
    <row r="164" spans="1:23" x14ac:dyDescent="0.25">
      <c r="A164" s="24"/>
      <c r="B164" s="25"/>
      <c r="C164" s="26"/>
      <c r="D164" s="24"/>
      <c r="E164" s="24"/>
      <c r="F164" s="24"/>
      <c r="G164" s="24"/>
      <c r="H164" s="24"/>
      <c r="I164" s="24"/>
      <c r="J164" s="27"/>
      <c r="K164" s="24"/>
      <c r="L164" s="24"/>
      <c r="M164" s="24"/>
      <c r="N164" s="24"/>
      <c r="O164" s="24"/>
      <c r="P164" s="26"/>
      <c r="Q164" s="26"/>
      <c r="R164" s="26"/>
      <c r="S164" s="34" t="str">
        <f>IF(OR($C164="",$P164=""),"",MAX(0,ROUND(($P164-$C164)*1440,0)))</f>
        <v/>
      </c>
      <c r="T164" s="34" t="str">
        <f>IF(OR($P164="",$Q164=""),"",MAX(0,ROUND(($Q164-$P164)*1440,0)))</f>
        <v/>
      </c>
      <c r="U164" s="34" t="str">
        <f>IF(OR($Q164="",$R164=""),"",MAX(0,ROUND(($R164-$Q164)*1440,0)))</f>
        <v/>
      </c>
      <c r="V164" s="35" t="str">
        <f>IF($A164="","",IF($O164="No-show","Sim","Não"))</f>
        <v/>
      </c>
      <c r="W164" s="32"/>
    </row>
    <row r="165" spans="1:23" x14ac:dyDescent="0.25">
      <c r="A165" s="24"/>
      <c r="B165" s="25"/>
      <c r="C165" s="26"/>
      <c r="D165" s="24"/>
      <c r="E165" s="24"/>
      <c r="F165" s="24"/>
      <c r="G165" s="24"/>
      <c r="H165" s="24"/>
      <c r="I165" s="24"/>
      <c r="J165" s="27"/>
      <c r="K165" s="24"/>
      <c r="L165" s="24"/>
      <c r="M165" s="24"/>
      <c r="N165" s="24"/>
      <c r="O165" s="24"/>
      <c r="P165" s="26"/>
      <c r="Q165" s="26"/>
      <c r="R165" s="26"/>
      <c r="S165" s="34" t="str">
        <f>IF(OR($C165="",$P165=""),"",MAX(0,ROUND(($P165-$C165)*1440,0)))</f>
        <v/>
      </c>
      <c r="T165" s="34" t="str">
        <f>IF(OR($P165="",$Q165=""),"",MAX(0,ROUND(($Q165-$P165)*1440,0)))</f>
        <v/>
      </c>
      <c r="U165" s="34" t="str">
        <f>IF(OR($Q165="",$R165=""),"",MAX(0,ROUND(($R165-$Q165)*1440,0)))</f>
        <v/>
      </c>
      <c r="V165" s="35" t="str">
        <f>IF($A165="","",IF($O165="No-show","Sim","Não"))</f>
        <v/>
      </c>
      <c r="W165" s="32"/>
    </row>
    <row r="166" spans="1:23" x14ac:dyDescent="0.25">
      <c r="A166" s="24"/>
      <c r="B166" s="25"/>
      <c r="C166" s="26"/>
      <c r="D166" s="24"/>
      <c r="E166" s="24"/>
      <c r="F166" s="24"/>
      <c r="G166" s="24"/>
      <c r="H166" s="24"/>
      <c r="I166" s="24"/>
      <c r="J166" s="27"/>
      <c r="K166" s="24"/>
      <c r="L166" s="24"/>
      <c r="M166" s="24"/>
      <c r="N166" s="24"/>
      <c r="O166" s="24"/>
      <c r="P166" s="26"/>
      <c r="Q166" s="26"/>
      <c r="R166" s="26"/>
      <c r="S166" s="34" t="str">
        <f>IF(OR($C166="",$P166=""),"",MAX(0,ROUND(($P166-$C166)*1440,0)))</f>
        <v/>
      </c>
      <c r="T166" s="34" t="str">
        <f>IF(OR($P166="",$Q166=""),"",MAX(0,ROUND(($Q166-$P166)*1440,0)))</f>
        <v/>
      </c>
      <c r="U166" s="34" t="str">
        <f>IF(OR($Q166="",$R166=""),"",MAX(0,ROUND(($R166-$Q166)*1440,0)))</f>
        <v/>
      </c>
      <c r="V166" s="35" t="str">
        <f>IF($A166="","",IF($O166="No-show","Sim","Não"))</f>
        <v/>
      </c>
      <c r="W166" s="32"/>
    </row>
    <row r="167" spans="1:23" x14ac:dyDescent="0.25">
      <c r="A167" s="24"/>
      <c r="B167" s="25"/>
      <c r="C167" s="26"/>
      <c r="D167" s="24"/>
      <c r="E167" s="24"/>
      <c r="F167" s="24"/>
      <c r="G167" s="24"/>
      <c r="H167" s="24"/>
      <c r="I167" s="24"/>
      <c r="J167" s="27"/>
      <c r="K167" s="24"/>
      <c r="L167" s="24"/>
      <c r="M167" s="24"/>
      <c r="N167" s="24"/>
      <c r="O167" s="24"/>
      <c r="P167" s="26"/>
      <c r="Q167" s="26"/>
      <c r="R167" s="26"/>
      <c r="S167" s="34" t="str">
        <f>IF(OR($C167="",$P167=""),"",MAX(0,ROUND(($P167-$C167)*1440,0)))</f>
        <v/>
      </c>
      <c r="T167" s="34" t="str">
        <f>IF(OR($P167="",$Q167=""),"",MAX(0,ROUND(($Q167-$P167)*1440,0)))</f>
        <v/>
      </c>
      <c r="U167" s="34" t="str">
        <f>IF(OR($Q167="",$R167=""),"",MAX(0,ROUND(($R167-$Q167)*1440,0)))</f>
        <v/>
      </c>
      <c r="V167" s="35" t="str">
        <f>IF($A167="","",IF($O167="No-show","Sim","Não"))</f>
        <v/>
      </c>
      <c r="W167" s="32"/>
    </row>
    <row r="168" spans="1:23" x14ac:dyDescent="0.25">
      <c r="A168" s="24"/>
      <c r="B168" s="25"/>
      <c r="C168" s="26"/>
      <c r="D168" s="24"/>
      <c r="E168" s="24"/>
      <c r="F168" s="24"/>
      <c r="G168" s="24"/>
      <c r="H168" s="24"/>
      <c r="I168" s="24"/>
      <c r="J168" s="27"/>
      <c r="K168" s="24"/>
      <c r="L168" s="24"/>
      <c r="M168" s="24"/>
      <c r="N168" s="24"/>
      <c r="O168" s="24"/>
      <c r="P168" s="26"/>
      <c r="Q168" s="26"/>
      <c r="R168" s="26"/>
      <c r="S168" s="34" t="str">
        <f>IF(OR($C168="",$P168=""),"",MAX(0,ROUND(($P168-$C168)*1440,0)))</f>
        <v/>
      </c>
      <c r="T168" s="34" t="str">
        <f>IF(OR($P168="",$Q168=""),"",MAX(0,ROUND(($Q168-$P168)*1440,0)))</f>
        <v/>
      </c>
      <c r="U168" s="34" t="str">
        <f>IF(OR($Q168="",$R168=""),"",MAX(0,ROUND(($R168-$Q168)*1440,0)))</f>
        <v/>
      </c>
      <c r="V168" s="35" t="str">
        <f>IF($A168="","",IF($O168="No-show","Sim","Não"))</f>
        <v/>
      </c>
      <c r="W168" s="32"/>
    </row>
    <row r="169" spans="1:23" x14ac:dyDescent="0.25">
      <c r="A169" s="24"/>
      <c r="B169" s="25"/>
      <c r="C169" s="26"/>
      <c r="D169" s="24"/>
      <c r="E169" s="24"/>
      <c r="F169" s="24"/>
      <c r="G169" s="24"/>
      <c r="H169" s="24"/>
      <c r="I169" s="24"/>
      <c r="J169" s="27"/>
      <c r="K169" s="24"/>
      <c r="L169" s="24"/>
      <c r="M169" s="24"/>
      <c r="N169" s="24"/>
      <c r="O169" s="24"/>
      <c r="P169" s="26"/>
      <c r="Q169" s="26"/>
      <c r="R169" s="26"/>
      <c r="S169" s="34" t="str">
        <f>IF(OR($C169="",$P169=""),"",MAX(0,ROUND(($P169-$C169)*1440,0)))</f>
        <v/>
      </c>
      <c r="T169" s="34" t="str">
        <f>IF(OR($P169="",$Q169=""),"",MAX(0,ROUND(($Q169-$P169)*1440,0)))</f>
        <v/>
      </c>
      <c r="U169" s="34" t="str">
        <f>IF(OR($Q169="",$R169=""),"",MAX(0,ROUND(($R169-$Q169)*1440,0)))</f>
        <v/>
      </c>
      <c r="V169" s="35" t="str">
        <f>IF($A169="","",IF($O169="No-show","Sim","Não"))</f>
        <v/>
      </c>
      <c r="W169" s="32"/>
    </row>
    <row r="170" spans="1:23" x14ac:dyDescent="0.25">
      <c r="A170" s="24"/>
      <c r="B170" s="25"/>
      <c r="C170" s="26"/>
      <c r="D170" s="24"/>
      <c r="E170" s="24"/>
      <c r="F170" s="24"/>
      <c r="G170" s="24"/>
      <c r="H170" s="24"/>
      <c r="I170" s="24"/>
      <c r="J170" s="27"/>
      <c r="K170" s="24"/>
      <c r="L170" s="24"/>
      <c r="M170" s="24"/>
      <c r="N170" s="24"/>
      <c r="O170" s="24"/>
      <c r="P170" s="26"/>
      <c r="Q170" s="26"/>
      <c r="R170" s="26"/>
      <c r="S170" s="34" t="str">
        <f>IF(OR($C170="",$P170=""),"",MAX(0,ROUND(($P170-$C170)*1440,0)))</f>
        <v/>
      </c>
      <c r="T170" s="34" t="str">
        <f>IF(OR($P170="",$Q170=""),"",MAX(0,ROUND(($Q170-$P170)*1440,0)))</f>
        <v/>
      </c>
      <c r="U170" s="34" t="str">
        <f>IF(OR($Q170="",$R170=""),"",MAX(0,ROUND(($R170-$Q170)*1440,0)))</f>
        <v/>
      </c>
      <c r="V170" s="35" t="str">
        <f>IF($A170="","",IF($O170="No-show","Sim","Não"))</f>
        <v/>
      </c>
      <c r="W170" s="32"/>
    </row>
    <row r="171" spans="1:23" x14ac:dyDescent="0.25">
      <c r="A171" s="24"/>
      <c r="B171" s="25"/>
      <c r="C171" s="26"/>
      <c r="D171" s="24"/>
      <c r="E171" s="24"/>
      <c r="F171" s="24"/>
      <c r="G171" s="24"/>
      <c r="H171" s="24"/>
      <c r="I171" s="24"/>
      <c r="J171" s="27"/>
      <c r="K171" s="24"/>
      <c r="L171" s="24"/>
      <c r="M171" s="24"/>
      <c r="N171" s="24"/>
      <c r="O171" s="24"/>
      <c r="P171" s="26"/>
      <c r="Q171" s="26"/>
      <c r="R171" s="26"/>
      <c r="S171" s="34" t="str">
        <f>IF(OR($C171="",$P171=""),"",MAX(0,ROUND(($P171-$C171)*1440,0)))</f>
        <v/>
      </c>
      <c r="T171" s="34" t="str">
        <f>IF(OR($P171="",$Q171=""),"",MAX(0,ROUND(($Q171-$P171)*1440,0)))</f>
        <v/>
      </c>
      <c r="U171" s="34" t="str">
        <f>IF(OR($Q171="",$R171=""),"",MAX(0,ROUND(($R171-$Q171)*1440,0)))</f>
        <v/>
      </c>
      <c r="V171" s="35" t="str">
        <f>IF($A171="","",IF($O171="No-show","Sim","Não"))</f>
        <v/>
      </c>
      <c r="W171" s="32"/>
    </row>
    <row r="172" spans="1:23" x14ac:dyDescent="0.25">
      <c r="A172" s="24"/>
      <c r="B172" s="25"/>
      <c r="C172" s="26"/>
      <c r="D172" s="24"/>
      <c r="E172" s="24"/>
      <c r="F172" s="24"/>
      <c r="G172" s="24"/>
      <c r="H172" s="24"/>
      <c r="I172" s="24"/>
      <c r="J172" s="27"/>
      <c r="K172" s="24"/>
      <c r="L172" s="24"/>
      <c r="M172" s="24"/>
      <c r="N172" s="24"/>
      <c r="O172" s="24"/>
      <c r="P172" s="26"/>
      <c r="Q172" s="26"/>
      <c r="R172" s="26"/>
      <c r="S172" s="34" t="str">
        <f>IF(OR($C172="",$P172=""),"",MAX(0,ROUND(($P172-$C172)*1440,0)))</f>
        <v/>
      </c>
      <c r="T172" s="34" t="str">
        <f>IF(OR($P172="",$Q172=""),"",MAX(0,ROUND(($Q172-$P172)*1440,0)))</f>
        <v/>
      </c>
      <c r="U172" s="34" t="str">
        <f>IF(OR($Q172="",$R172=""),"",MAX(0,ROUND(($R172-$Q172)*1440,0)))</f>
        <v/>
      </c>
      <c r="V172" s="35" t="str">
        <f>IF($A172="","",IF($O172="No-show","Sim","Não"))</f>
        <v/>
      </c>
      <c r="W172" s="32"/>
    </row>
    <row r="173" spans="1:23" x14ac:dyDescent="0.25">
      <c r="A173" s="24"/>
      <c r="B173" s="25"/>
      <c r="C173" s="26"/>
      <c r="D173" s="24"/>
      <c r="E173" s="24"/>
      <c r="F173" s="24"/>
      <c r="G173" s="24"/>
      <c r="H173" s="24"/>
      <c r="I173" s="24"/>
      <c r="J173" s="27"/>
      <c r="K173" s="24"/>
      <c r="L173" s="24"/>
      <c r="M173" s="24"/>
      <c r="N173" s="24"/>
      <c r="O173" s="24"/>
      <c r="P173" s="26"/>
      <c r="Q173" s="26"/>
      <c r="R173" s="26"/>
      <c r="S173" s="34" t="str">
        <f>IF(OR($C173="",$P173=""),"",MAX(0,ROUND(($P173-$C173)*1440,0)))</f>
        <v/>
      </c>
      <c r="T173" s="34" t="str">
        <f>IF(OR($P173="",$Q173=""),"",MAX(0,ROUND(($Q173-$P173)*1440,0)))</f>
        <v/>
      </c>
      <c r="U173" s="34" t="str">
        <f>IF(OR($Q173="",$R173=""),"",MAX(0,ROUND(($R173-$Q173)*1440,0)))</f>
        <v/>
      </c>
      <c r="V173" s="35" t="str">
        <f>IF($A173="","",IF($O173="No-show","Sim","Não"))</f>
        <v/>
      </c>
      <c r="W173" s="32"/>
    </row>
    <row r="174" spans="1:23" x14ac:dyDescent="0.25">
      <c r="A174" s="24"/>
      <c r="B174" s="25"/>
      <c r="C174" s="26"/>
      <c r="D174" s="24"/>
      <c r="E174" s="24"/>
      <c r="F174" s="24"/>
      <c r="G174" s="24"/>
      <c r="H174" s="24"/>
      <c r="I174" s="24"/>
      <c r="J174" s="27"/>
      <c r="K174" s="24"/>
      <c r="L174" s="24"/>
      <c r="M174" s="24"/>
      <c r="N174" s="24"/>
      <c r="O174" s="24"/>
      <c r="P174" s="26"/>
      <c r="Q174" s="26"/>
      <c r="R174" s="26"/>
      <c r="S174" s="34" t="str">
        <f>IF(OR($C174="",$P174=""),"",MAX(0,ROUND(($P174-$C174)*1440,0)))</f>
        <v/>
      </c>
      <c r="T174" s="34" t="str">
        <f>IF(OR($P174="",$Q174=""),"",MAX(0,ROUND(($Q174-$P174)*1440,0)))</f>
        <v/>
      </c>
      <c r="U174" s="34" t="str">
        <f>IF(OR($Q174="",$R174=""),"",MAX(0,ROUND(($R174-$Q174)*1440,0)))</f>
        <v/>
      </c>
      <c r="V174" s="35" t="str">
        <f>IF($A174="","",IF($O174="No-show","Sim","Não"))</f>
        <v/>
      </c>
      <c r="W174" s="32"/>
    </row>
    <row r="175" spans="1:23" x14ac:dyDescent="0.25">
      <c r="A175" s="24"/>
      <c r="B175" s="25"/>
      <c r="C175" s="26"/>
      <c r="D175" s="24"/>
      <c r="E175" s="24"/>
      <c r="F175" s="24"/>
      <c r="G175" s="24"/>
      <c r="H175" s="24"/>
      <c r="I175" s="24"/>
      <c r="J175" s="27"/>
      <c r="K175" s="24"/>
      <c r="L175" s="24"/>
      <c r="M175" s="24"/>
      <c r="N175" s="24"/>
      <c r="O175" s="24"/>
      <c r="P175" s="26"/>
      <c r="Q175" s="26"/>
      <c r="R175" s="26"/>
      <c r="S175" s="34" t="str">
        <f>IF(OR($C175="",$P175=""),"",MAX(0,ROUND(($P175-$C175)*1440,0)))</f>
        <v/>
      </c>
      <c r="T175" s="34" t="str">
        <f>IF(OR($P175="",$Q175=""),"",MAX(0,ROUND(($Q175-$P175)*1440,0)))</f>
        <v/>
      </c>
      <c r="U175" s="34" t="str">
        <f>IF(OR($Q175="",$R175=""),"",MAX(0,ROUND(($R175-$Q175)*1440,0)))</f>
        <v/>
      </c>
      <c r="V175" s="35" t="str">
        <f>IF($A175="","",IF($O175="No-show","Sim","Não"))</f>
        <v/>
      </c>
      <c r="W175" s="32"/>
    </row>
    <row r="176" spans="1:23" x14ac:dyDescent="0.25">
      <c r="A176" s="24"/>
      <c r="B176" s="25"/>
      <c r="C176" s="26"/>
      <c r="D176" s="24"/>
      <c r="E176" s="24"/>
      <c r="F176" s="24"/>
      <c r="G176" s="24"/>
      <c r="H176" s="24"/>
      <c r="I176" s="24"/>
      <c r="J176" s="27"/>
      <c r="K176" s="24"/>
      <c r="L176" s="24"/>
      <c r="M176" s="24"/>
      <c r="N176" s="24"/>
      <c r="O176" s="24"/>
      <c r="P176" s="26"/>
      <c r="Q176" s="26"/>
      <c r="R176" s="26"/>
      <c r="S176" s="34" t="str">
        <f>IF(OR($C176="",$P176=""),"",MAX(0,ROUND(($P176-$C176)*1440,0)))</f>
        <v/>
      </c>
      <c r="T176" s="34" t="str">
        <f>IF(OR($P176="",$Q176=""),"",MAX(0,ROUND(($Q176-$P176)*1440,0)))</f>
        <v/>
      </c>
      <c r="U176" s="34" t="str">
        <f>IF(OR($Q176="",$R176=""),"",MAX(0,ROUND(($R176-$Q176)*1440,0)))</f>
        <v/>
      </c>
      <c r="V176" s="35" t="str">
        <f>IF($A176="","",IF($O176="No-show","Sim","Não"))</f>
        <v/>
      </c>
      <c r="W176" s="32"/>
    </row>
    <row r="177" spans="1:23" x14ac:dyDescent="0.25">
      <c r="A177" s="24"/>
      <c r="B177" s="25"/>
      <c r="C177" s="26"/>
      <c r="D177" s="24"/>
      <c r="E177" s="24"/>
      <c r="F177" s="24"/>
      <c r="G177" s="24"/>
      <c r="H177" s="24"/>
      <c r="I177" s="24"/>
      <c r="J177" s="27"/>
      <c r="K177" s="24"/>
      <c r="L177" s="24"/>
      <c r="M177" s="24"/>
      <c r="N177" s="24"/>
      <c r="O177" s="24"/>
      <c r="P177" s="26"/>
      <c r="Q177" s="26"/>
      <c r="R177" s="26"/>
      <c r="S177" s="34" t="str">
        <f>IF(OR($C177="",$P177=""),"",MAX(0,ROUND(($P177-$C177)*1440,0)))</f>
        <v/>
      </c>
      <c r="T177" s="34" t="str">
        <f>IF(OR($P177="",$Q177=""),"",MAX(0,ROUND(($Q177-$P177)*1440,0)))</f>
        <v/>
      </c>
      <c r="U177" s="34" t="str">
        <f>IF(OR($Q177="",$R177=""),"",MAX(0,ROUND(($R177-$Q177)*1440,0)))</f>
        <v/>
      </c>
      <c r="V177" s="35" t="str">
        <f>IF($A177="","",IF($O177="No-show","Sim","Não"))</f>
        <v/>
      </c>
      <c r="W177" s="32"/>
    </row>
    <row r="178" spans="1:23" x14ac:dyDescent="0.25">
      <c r="A178" s="24"/>
      <c r="B178" s="25"/>
      <c r="C178" s="26"/>
      <c r="D178" s="24"/>
      <c r="E178" s="24"/>
      <c r="F178" s="24"/>
      <c r="G178" s="24"/>
      <c r="H178" s="24"/>
      <c r="I178" s="24"/>
      <c r="J178" s="27"/>
      <c r="K178" s="24"/>
      <c r="L178" s="24"/>
      <c r="M178" s="24"/>
      <c r="N178" s="24"/>
      <c r="O178" s="24"/>
      <c r="P178" s="26"/>
      <c r="Q178" s="26"/>
      <c r="R178" s="26"/>
      <c r="S178" s="34" t="str">
        <f>IF(OR($C178="",$P178=""),"",MAX(0,ROUND(($P178-$C178)*1440,0)))</f>
        <v/>
      </c>
      <c r="T178" s="34" t="str">
        <f>IF(OR($P178="",$Q178=""),"",MAX(0,ROUND(($Q178-$P178)*1440,0)))</f>
        <v/>
      </c>
      <c r="U178" s="34" t="str">
        <f>IF(OR($Q178="",$R178=""),"",MAX(0,ROUND(($R178-$Q178)*1440,0)))</f>
        <v/>
      </c>
      <c r="V178" s="35" t="str">
        <f>IF($A178="","",IF($O178="No-show","Sim","Não"))</f>
        <v/>
      </c>
      <c r="W178" s="32"/>
    </row>
    <row r="179" spans="1:23" x14ac:dyDescent="0.25">
      <c r="A179" s="24"/>
      <c r="B179" s="25"/>
      <c r="C179" s="26"/>
      <c r="D179" s="24"/>
      <c r="E179" s="24"/>
      <c r="F179" s="24"/>
      <c r="G179" s="24"/>
      <c r="H179" s="24"/>
      <c r="I179" s="24"/>
      <c r="J179" s="27"/>
      <c r="K179" s="24"/>
      <c r="L179" s="24"/>
      <c r="M179" s="24"/>
      <c r="N179" s="24"/>
      <c r="O179" s="24"/>
      <c r="P179" s="26"/>
      <c r="Q179" s="26"/>
      <c r="R179" s="26"/>
      <c r="S179" s="34" t="str">
        <f>IF(OR($C179="",$P179=""),"",MAX(0,ROUND(($P179-$C179)*1440,0)))</f>
        <v/>
      </c>
      <c r="T179" s="34" t="str">
        <f>IF(OR($P179="",$Q179=""),"",MAX(0,ROUND(($Q179-$P179)*1440,0)))</f>
        <v/>
      </c>
      <c r="U179" s="34" t="str">
        <f>IF(OR($Q179="",$R179=""),"",MAX(0,ROUND(($R179-$Q179)*1440,0)))</f>
        <v/>
      </c>
      <c r="V179" s="35" t="str">
        <f>IF($A179="","",IF($O179="No-show","Sim","Não"))</f>
        <v/>
      </c>
      <c r="W179" s="32"/>
    </row>
    <row r="180" spans="1:23" x14ac:dyDescent="0.25">
      <c r="A180" s="24"/>
      <c r="B180" s="25"/>
      <c r="C180" s="26"/>
      <c r="D180" s="24"/>
      <c r="E180" s="24"/>
      <c r="F180" s="24"/>
      <c r="G180" s="24"/>
      <c r="H180" s="24"/>
      <c r="I180" s="24"/>
      <c r="J180" s="27"/>
      <c r="K180" s="24"/>
      <c r="L180" s="24"/>
      <c r="M180" s="24"/>
      <c r="N180" s="24"/>
      <c r="O180" s="24"/>
      <c r="P180" s="26"/>
      <c r="Q180" s="26"/>
      <c r="R180" s="26"/>
      <c r="S180" s="34" t="str">
        <f>IF(OR($C180="",$P180=""),"",MAX(0,ROUND(($P180-$C180)*1440,0)))</f>
        <v/>
      </c>
      <c r="T180" s="34" t="str">
        <f>IF(OR($P180="",$Q180=""),"",MAX(0,ROUND(($Q180-$P180)*1440,0)))</f>
        <v/>
      </c>
      <c r="U180" s="34" t="str">
        <f>IF(OR($Q180="",$R180=""),"",MAX(0,ROUND(($R180-$Q180)*1440,0)))</f>
        <v/>
      </c>
      <c r="V180" s="35" t="str">
        <f>IF($A180="","",IF($O180="No-show","Sim","Não"))</f>
        <v/>
      </c>
      <c r="W180" s="32"/>
    </row>
    <row r="181" spans="1:23" x14ac:dyDescent="0.25">
      <c r="A181" s="24"/>
      <c r="B181" s="25"/>
      <c r="C181" s="26"/>
      <c r="D181" s="24"/>
      <c r="E181" s="24"/>
      <c r="F181" s="24"/>
      <c r="G181" s="24"/>
      <c r="H181" s="24"/>
      <c r="I181" s="24"/>
      <c r="J181" s="27"/>
      <c r="K181" s="24"/>
      <c r="L181" s="24"/>
      <c r="M181" s="24"/>
      <c r="N181" s="24"/>
      <c r="O181" s="24"/>
      <c r="P181" s="26"/>
      <c r="Q181" s="26"/>
      <c r="R181" s="26"/>
      <c r="S181" s="34" t="str">
        <f>IF(OR($C181="",$P181=""),"",MAX(0,ROUND(($P181-$C181)*1440,0)))</f>
        <v/>
      </c>
      <c r="T181" s="34" t="str">
        <f>IF(OR($P181="",$Q181=""),"",MAX(0,ROUND(($Q181-$P181)*1440,0)))</f>
        <v/>
      </c>
      <c r="U181" s="34" t="str">
        <f>IF(OR($Q181="",$R181=""),"",MAX(0,ROUND(($R181-$Q181)*1440,0)))</f>
        <v/>
      </c>
      <c r="V181" s="35" t="str">
        <f>IF($A181="","",IF($O181="No-show","Sim","Não"))</f>
        <v/>
      </c>
      <c r="W181" s="32"/>
    </row>
    <row r="182" spans="1:23" x14ac:dyDescent="0.25">
      <c r="A182" s="24"/>
      <c r="B182" s="25"/>
      <c r="C182" s="26"/>
      <c r="D182" s="24"/>
      <c r="E182" s="24"/>
      <c r="F182" s="24"/>
      <c r="G182" s="24"/>
      <c r="H182" s="24"/>
      <c r="I182" s="24"/>
      <c r="J182" s="27"/>
      <c r="K182" s="24"/>
      <c r="L182" s="24"/>
      <c r="M182" s="24"/>
      <c r="N182" s="24"/>
      <c r="O182" s="24"/>
      <c r="P182" s="26"/>
      <c r="Q182" s="26"/>
      <c r="R182" s="26"/>
      <c r="S182" s="34" t="str">
        <f>IF(OR($C182="",$P182=""),"",MAX(0,ROUND(($P182-$C182)*1440,0)))</f>
        <v/>
      </c>
      <c r="T182" s="34" t="str">
        <f>IF(OR($P182="",$Q182=""),"",MAX(0,ROUND(($Q182-$P182)*1440,0)))</f>
        <v/>
      </c>
      <c r="U182" s="34" t="str">
        <f>IF(OR($Q182="",$R182=""),"",MAX(0,ROUND(($R182-$Q182)*1440,0)))</f>
        <v/>
      </c>
      <c r="V182" s="35" t="str">
        <f>IF($A182="","",IF($O182="No-show","Sim","Não"))</f>
        <v/>
      </c>
      <c r="W182" s="32"/>
    </row>
    <row r="183" spans="1:23" x14ac:dyDescent="0.25">
      <c r="A183" s="24"/>
      <c r="B183" s="25"/>
      <c r="C183" s="26"/>
      <c r="D183" s="24"/>
      <c r="E183" s="24"/>
      <c r="F183" s="24"/>
      <c r="G183" s="24"/>
      <c r="H183" s="24"/>
      <c r="I183" s="24"/>
      <c r="J183" s="27"/>
      <c r="K183" s="24"/>
      <c r="L183" s="24"/>
      <c r="M183" s="24"/>
      <c r="N183" s="24"/>
      <c r="O183" s="24"/>
      <c r="P183" s="26"/>
      <c r="Q183" s="26"/>
      <c r="R183" s="26"/>
      <c r="S183" s="34" t="str">
        <f>IF(OR($C183="",$P183=""),"",MAX(0,ROUND(($P183-$C183)*1440,0)))</f>
        <v/>
      </c>
      <c r="T183" s="34" t="str">
        <f>IF(OR($P183="",$Q183=""),"",MAX(0,ROUND(($Q183-$P183)*1440,0)))</f>
        <v/>
      </c>
      <c r="U183" s="34" t="str">
        <f>IF(OR($Q183="",$R183=""),"",MAX(0,ROUND(($R183-$Q183)*1440,0)))</f>
        <v/>
      </c>
      <c r="V183" s="35" t="str">
        <f>IF($A183="","",IF($O183="No-show","Sim","Não"))</f>
        <v/>
      </c>
      <c r="W183" s="32"/>
    </row>
    <row r="184" spans="1:23" x14ac:dyDescent="0.25">
      <c r="A184" s="24"/>
      <c r="B184" s="25"/>
      <c r="C184" s="26"/>
      <c r="D184" s="24"/>
      <c r="E184" s="24"/>
      <c r="F184" s="24"/>
      <c r="G184" s="24"/>
      <c r="H184" s="24"/>
      <c r="I184" s="24"/>
      <c r="J184" s="27"/>
      <c r="K184" s="24"/>
      <c r="L184" s="24"/>
      <c r="M184" s="24"/>
      <c r="N184" s="24"/>
      <c r="O184" s="24"/>
      <c r="P184" s="26"/>
      <c r="Q184" s="26"/>
      <c r="R184" s="26"/>
      <c r="S184" s="34" t="str">
        <f>IF(OR($C184="",$P184=""),"",MAX(0,ROUND(($P184-$C184)*1440,0)))</f>
        <v/>
      </c>
      <c r="T184" s="34" t="str">
        <f>IF(OR($P184="",$Q184=""),"",MAX(0,ROUND(($Q184-$P184)*1440,0)))</f>
        <v/>
      </c>
      <c r="U184" s="34" t="str">
        <f>IF(OR($Q184="",$R184=""),"",MAX(0,ROUND(($R184-$Q184)*1440,0)))</f>
        <v/>
      </c>
      <c r="V184" s="35" t="str">
        <f>IF($A184="","",IF($O184="No-show","Sim","Não"))</f>
        <v/>
      </c>
      <c r="W184" s="32"/>
    </row>
    <row r="185" spans="1:23" x14ac:dyDescent="0.25">
      <c r="A185" s="24"/>
      <c r="B185" s="25"/>
      <c r="C185" s="26"/>
      <c r="D185" s="24"/>
      <c r="E185" s="24"/>
      <c r="F185" s="24"/>
      <c r="G185" s="24"/>
      <c r="H185" s="24"/>
      <c r="I185" s="24"/>
      <c r="J185" s="27"/>
      <c r="K185" s="24"/>
      <c r="L185" s="24"/>
      <c r="M185" s="24"/>
      <c r="N185" s="24"/>
      <c r="O185" s="24"/>
      <c r="P185" s="26"/>
      <c r="Q185" s="26"/>
      <c r="R185" s="26"/>
      <c r="S185" s="34" t="str">
        <f>IF(OR($C185="",$P185=""),"",MAX(0,ROUND(($P185-$C185)*1440,0)))</f>
        <v/>
      </c>
      <c r="T185" s="34" t="str">
        <f>IF(OR($P185="",$Q185=""),"",MAX(0,ROUND(($Q185-$P185)*1440,0)))</f>
        <v/>
      </c>
      <c r="U185" s="34" t="str">
        <f>IF(OR($Q185="",$R185=""),"",MAX(0,ROUND(($R185-$Q185)*1440,0)))</f>
        <v/>
      </c>
      <c r="V185" s="35" t="str">
        <f>IF($A185="","",IF($O185="No-show","Sim","Não"))</f>
        <v/>
      </c>
      <c r="W185" s="32"/>
    </row>
    <row r="186" spans="1:23" x14ac:dyDescent="0.25">
      <c r="A186" s="24"/>
      <c r="B186" s="25"/>
      <c r="C186" s="26"/>
      <c r="D186" s="24"/>
      <c r="E186" s="24"/>
      <c r="F186" s="24"/>
      <c r="G186" s="24"/>
      <c r="H186" s="24"/>
      <c r="I186" s="24"/>
      <c r="J186" s="27"/>
      <c r="K186" s="24"/>
      <c r="L186" s="24"/>
      <c r="M186" s="24"/>
      <c r="N186" s="24"/>
      <c r="O186" s="24"/>
      <c r="P186" s="26"/>
      <c r="Q186" s="26"/>
      <c r="R186" s="26"/>
      <c r="S186" s="34" t="str">
        <f>IF(OR($C186="",$P186=""),"",MAX(0,ROUND(($P186-$C186)*1440,0)))</f>
        <v/>
      </c>
      <c r="T186" s="34" t="str">
        <f>IF(OR($P186="",$Q186=""),"",MAX(0,ROUND(($Q186-$P186)*1440,0)))</f>
        <v/>
      </c>
      <c r="U186" s="34" t="str">
        <f>IF(OR($Q186="",$R186=""),"",MAX(0,ROUND(($R186-$Q186)*1440,0)))</f>
        <v/>
      </c>
      <c r="V186" s="35" t="str">
        <f>IF($A186="","",IF($O186="No-show","Sim","Não"))</f>
        <v/>
      </c>
      <c r="W186" s="32"/>
    </row>
    <row r="187" spans="1:23" x14ac:dyDescent="0.25">
      <c r="A187" s="24"/>
      <c r="B187" s="25"/>
      <c r="C187" s="26"/>
      <c r="D187" s="24"/>
      <c r="E187" s="24"/>
      <c r="F187" s="24"/>
      <c r="G187" s="24"/>
      <c r="H187" s="24"/>
      <c r="I187" s="24"/>
      <c r="J187" s="27"/>
      <c r="K187" s="24"/>
      <c r="L187" s="24"/>
      <c r="M187" s="24"/>
      <c r="N187" s="24"/>
      <c r="O187" s="24"/>
      <c r="P187" s="26"/>
      <c r="Q187" s="26"/>
      <c r="R187" s="26"/>
      <c r="S187" s="34" t="str">
        <f>IF(OR($C187="",$P187=""),"",MAX(0,ROUND(($P187-$C187)*1440,0)))</f>
        <v/>
      </c>
      <c r="T187" s="34" t="str">
        <f>IF(OR($P187="",$Q187=""),"",MAX(0,ROUND(($Q187-$P187)*1440,0)))</f>
        <v/>
      </c>
      <c r="U187" s="34" t="str">
        <f>IF(OR($Q187="",$R187=""),"",MAX(0,ROUND(($R187-$Q187)*1440,0)))</f>
        <v/>
      </c>
      <c r="V187" s="35" t="str">
        <f>IF($A187="","",IF($O187="No-show","Sim","Não"))</f>
        <v/>
      </c>
      <c r="W187" s="32"/>
    </row>
    <row r="188" spans="1:23" x14ac:dyDescent="0.25">
      <c r="A188" s="24"/>
      <c r="B188" s="25"/>
      <c r="C188" s="26"/>
      <c r="D188" s="24"/>
      <c r="E188" s="24"/>
      <c r="F188" s="24"/>
      <c r="G188" s="24"/>
      <c r="H188" s="24"/>
      <c r="I188" s="24"/>
      <c r="J188" s="27"/>
      <c r="K188" s="24"/>
      <c r="L188" s="24"/>
      <c r="M188" s="24"/>
      <c r="N188" s="24"/>
      <c r="O188" s="24"/>
      <c r="P188" s="26"/>
      <c r="Q188" s="26"/>
      <c r="R188" s="26"/>
      <c r="S188" s="34" t="str">
        <f>IF(OR($C188="",$P188=""),"",MAX(0,ROUND(($P188-$C188)*1440,0)))</f>
        <v/>
      </c>
      <c r="T188" s="34" t="str">
        <f>IF(OR($P188="",$Q188=""),"",MAX(0,ROUND(($Q188-$P188)*1440,0)))</f>
        <v/>
      </c>
      <c r="U188" s="34" t="str">
        <f>IF(OR($Q188="",$R188=""),"",MAX(0,ROUND(($R188-$Q188)*1440,0)))</f>
        <v/>
      </c>
      <c r="V188" s="35" t="str">
        <f>IF($A188="","",IF($O188="No-show","Sim","Não"))</f>
        <v/>
      </c>
      <c r="W188" s="32"/>
    </row>
    <row r="189" spans="1:23" x14ac:dyDescent="0.25">
      <c r="A189" s="24"/>
      <c r="B189" s="25"/>
      <c r="C189" s="26"/>
      <c r="D189" s="24"/>
      <c r="E189" s="24"/>
      <c r="F189" s="24"/>
      <c r="G189" s="24"/>
      <c r="H189" s="24"/>
      <c r="I189" s="24"/>
      <c r="J189" s="27"/>
      <c r="K189" s="24"/>
      <c r="L189" s="24"/>
      <c r="M189" s="24"/>
      <c r="N189" s="24"/>
      <c r="O189" s="24"/>
      <c r="P189" s="26"/>
      <c r="Q189" s="26"/>
      <c r="R189" s="26"/>
      <c r="S189" s="34" t="str">
        <f>IF(OR($C189="",$P189=""),"",MAX(0,ROUND(($P189-$C189)*1440,0)))</f>
        <v/>
      </c>
      <c r="T189" s="34" t="str">
        <f>IF(OR($P189="",$Q189=""),"",MAX(0,ROUND(($Q189-$P189)*1440,0)))</f>
        <v/>
      </c>
      <c r="U189" s="34" t="str">
        <f>IF(OR($Q189="",$R189=""),"",MAX(0,ROUND(($R189-$Q189)*1440,0)))</f>
        <v/>
      </c>
      <c r="V189" s="35" t="str">
        <f>IF($A189="","",IF($O189="No-show","Sim","Não"))</f>
        <v/>
      </c>
      <c r="W189" s="32"/>
    </row>
    <row r="190" spans="1:23" x14ac:dyDescent="0.25">
      <c r="A190" s="24"/>
      <c r="B190" s="25"/>
      <c r="C190" s="26"/>
      <c r="D190" s="24"/>
      <c r="E190" s="24"/>
      <c r="F190" s="24"/>
      <c r="G190" s="24"/>
      <c r="H190" s="24"/>
      <c r="I190" s="24"/>
      <c r="J190" s="27"/>
      <c r="K190" s="24"/>
      <c r="L190" s="24"/>
      <c r="M190" s="24"/>
      <c r="N190" s="24"/>
      <c r="O190" s="24"/>
      <c r="P190" s="26"/>
      <c r="Q190" s="26"/>
      <c r="R190" s="26"/>
      <c r="S190" s="34" t="str">
        <f>IF(OR($C190="",$P190=""),"",MAX(0,ROUND(($P190-$C190)*1440,0)))</f>
        <v/>
      </c>
      <c r="T190" s="34" t="str">
        <f>IF(OR($P190="",$Q190=""),"",MAX(0,ROUND(($Q190-$P190)*1440,0)))</f>
        <v/>
      </c>
      <c r="U190" s="34" t="str">
        <f>IF(OR($Q190="",$R190=""),"",MAX(0,ROUND(($R190-$Q190)*1440,0)))</f>
        <v/>
      </c>
      <c r="V190" s="35" t="str">
        <f>IF($A190="","",IF($O190="No-show","Sim","Não"))</f>
        <v/>
      </c>
      <c r="W190" s="32"/>
    </row>
    <row r="191" spans="1:23" x14ac:dyDescent="0.25">
      <c r="A191" s="24"/>
      <c r="B191" s="25"/>
      <c r="C191" s="26"/>
      <c r="D191" s="24"/>
      <c r="E191" s="24"/>
      <c r="F191" s="24"/>
      <c r="G191" s="24"/>
      <c r="H191" s="24"/>
      <c r="I191" s="24"/>
      <c r="J191" s="27"/>
      <c r="K191" s="24"/>
      <c r="L191" s="24"/>
      <c r="M191" s="24"/>
      <c r="N191" s="24"/>
      <c r="O191" s="24"/>
      <c r="P191" s="26"/>
      <c r="Q191" s="26"/>
      <c r="R191" s="26"/>
      <c r="S191" s="34" t="str">
        <f>IF(OR($C191="",$P191=""),"",MAX(0,ROUND(($P191-$C191)*1440,0)))</f>
        <v/>
      </c>
      <c r="T191" s="34" t="str">
        <f>IF(OR($P191="",$Q191=""),"",MAX(0,ROUND(($Q191-$P191)*1440,0)))</f>
        <v/>
      </c>
      <c r="U191" s="34" t="str">
        <f>IF(OR($Q191="",$R191=""),"",MAX(0,ROUND(($R191-$Q191)*1440,0)))</f>
        <v/>
      </c>
      <c r="V191" s="35" t="str">
        <f>IF($A191="","",IF($O191="No-show","Sim","Não"))</f>
        <v/>
      </c>
      <c r="W191" s="32"/>
    </row>
    <row r="192" spans="1:23" x14ac:dyDescent="0.25">
      <c r="A192" s="24"/>
      <c r="B192" s="25"/>
      <c r="C192" s="26"/>
      <c r="D192" s="24"/>
      <c r="E192" s="24"/>
      <c r="F192" s="24"/>
      <c r="G192" s="24"/>
      <c r="H192" s="24"/>
      <c r="I192" s="24"/>
      <c r="J192" s="27"/>
      <c r="K192" s="24"/>
      <c r="L192" s="24"/>
      <c r="M192" s="24"/>
      <c r="N192" s="24"/>
      <c r="O192" s="24"/>
      <c r="P192" s="26"/>
      <c r="Q192" s="26"/>
      <c r="R192" s="26"/>
      <c r="S192" s="34" t="str">
        <f>IF(OR($C192="",$P192=""),"",MAX(0,ROUND(($P192-$C192)*1440,0)))</f>
        <v/>
      </c>
      <c r="T192" s="34" t="str">
        <f>IF(OR($P192="",$Q192=""),"",MAX(0,ROUND(($Q192-$P192)*1440,0)))</f>
        <v/>
      </c>
      <c r="U192" s="34" t="str">
        <f>IF(OR($Q192="",$R192=""),"",MAX(0,ROUND(($R192-$Q192)*1440,0)))</f>
        <v/>
      </c>
      <c r="V192" s="35" t="str">
        <f>IF($A192="","",IF($O192="No-show","Sim","Não"))</f>
        <v/>
      </c>
      <c r="W192" s="32"/>
    </row>
    <row r="193" spans="1:23" x14ac:dyDescent="0.25">
      <c r="A193" s="24"/>
      <c r="B193" s="25"/>
      <c r="C193" s="26"/>
      <c r="D193" s="24"/>
      <c r="E193" s="24"/>
      <c r="F193" s="24"/>
      <c r="G193" s="24"/>
      <c r="H193" s="24"/>
      <c r="I193" s="24"/>
      <c r="J193" s="27"/>
      <c r="K193" s="24"/>
      <c r="L193" s="24"/>
      <c r="M193" s="24"/>
      <c r="N193" s="24"/>
      <c r="O193" s="24"/>
      <c r="P193" s="26"/>
      <c r="Q193" s="26"/>
      <c r="R193" s="26"/>
      <c r="S193" s="34" t="str">
        <f>IF(OR($C193="",$P193=""),"",MAX(0,ROUND(($P193-$C193)*1440,0)))</f>
        <v/>
      </c>
      <c r="T193" s="34" t="str">
        <f>IF(OR($P193="",$Q193=""),"",MAX(0,ROUND(($Q193-$P193)*1440,0)))</f>
        <v/>
      </c>
      <c r="U193" s="34" t="str">
        <f>IF(OR($Q193="",$R193=""),"",MAX(0,ROUND(($R193-$Q193)*1440,0)))</f>
        <v/>
      </c>
      <c r="V193" s="35" t="str">
        <f>IF($A193="","",IF($O193="No-show","Sim","Não"))</f>
        <v/>
      </c>
      <c r="W193" s="32"/>
    </row>
    <row r="194" spans="1:23" x14ac:dyDescent="0.25">
      <c r="A194" s="24"/>
      <c r="B194" s="25"/>
      <c r="C194" s="26"/>
      <c r="D194" s="24"/>
      <c r="E194" s="24"/>
      <c r="F194" s="24"/>
      <c r="G194" s="24"/>
      <c r="H194" s="24"/>
      <c r="I194" s="24"/>
      <c r="J194" s="27"/>
      <c r="K194" s="24"/>
      <c r="L194" s="24"/>
      <c r="M194" s="24"/>
      <c r="N194" s="24"/>
      <c r="O194" s="24"/>
      <c r="P194" s="26"/>
      <c r="Q194" s="26"/>
      <c r="R194" s="26"/>
      <c r="S194" s="34" t="str">
        <f>IF(OR($C194="",$P194=""),"",MAX(0,ROUND(($P194-$C194)*1440,0)))</f>
        <v/>
      </c>
      <c r="T194" s="34" t="str">
        <f>IF(OR($P194="",$Q194=""),"",MAX(0,ROUND(($Q194-$P194)*1440,0)))</f>
        <v/>
      </c>
      <c r="U194" s="34" t="str">
        <f>IF(OR($Q194="",$R194=""),"",MAX(0,ROUND(($R194-$Q194)*1440,0)))</f>
        <v/>
      </c>
      <c r="V194" s="35" t="str">
        <f>IF($A194="","",IF($O194="No-show","Sim","Não"))</f>
        <v/>
      </c>
      <c r="W194" s="32"/>
    </row>
    <row r="195" spans="1:23" x14ac:dyDescent="0.25">
      <c r="A195" s="24"/>
      <c r="B195" s="25"/>
      <c r="C195" s="26"/>
      <c r="D195" s="24"/>
      <c r="E195" s="24"/>
      <c r="F195" s="24"/>
      <c r="G195" s="24"/>
      <c r="H195" s="24"/>
      <c r="I195" s="24"/>
      <c r="J195" s="27"/>
      <c r="K195" s="24"/>
      <c r="L195" s="24"/>
      <c r="M195" s="24"/>
      <c r="N195" s="24"/>
      <c r="O195" s="24"/>
      <c r="P195" s="26"/>
      <c r="Q195" s="26"/>
      <c r="R195" s="26"/>
      <c r="S195" s="34" t="str">
        <f>IF(OR($C195="",$P195=""),"",MAX(0,ROUND(($P195-$C195)*1440,0)))</f>
        <v/>
      </c>
      <c r="T195" s="34" t="str">
        <f>IF(OR($P195="",$Q195=""),"",MAX(0,ROUND(($Q195-$P195)*1440,0)))</f>
        <v/>
      </c>
      <c r="U195" s="34" t="str">
        <f>IF(OR($Q195="",$R195=""),"",MAX(0,ROUND(($R195-$Q195)*1440,0)))</f>
        <v/>
      </c>
      <c r="V195" s="35" t="str">
        <f>IF($A195="","",IF($O195="No-show","Sim","Não"))</f>
        <v/>
      </c>
      <c r="W195" s="32"/>
    </row>
    <row r="196" spans="1:23" x14ac:dyDescent="0.25">
      <c r="A196" s="24"/>
      <c r="B196" s="25"/>
      <c r="C196" s="26"/>
      <c r="D196" s="24"/>
      <c r="E196" s="24"/>
      <c r="F196" s="24"/>
      <c r="G196" s="24"/>
      <c r="H196" s="24"/>
      <c r="I196" s="24"/>
      <c r="J196" s="27"/>
      <c r="K196" s="24"/>
      <c r="L196" s="24"/>
      <c r="M196" s="24"/>
      <c r="N196" s="24"/>
      <c r="O196" s="24"/>
      <c r="P196" s="26"/>
      <c r="Q196" s="26"/>
      <c r="R196" s="26"/>
      <c r="S196" s="34" t="str">
        <f>IF(OR($C196="",$P196=""),"",MAX(0,ROUND(($P196-$C196)*1440,0)))</f>
        <v/>
      </c>
      <c r="T196" s="34" t="str">
        <f>IF(OR($P196="",$Q196=""),"",MAX(0,ROUND(($Q196-$P196)*1440,0)))</f>
        <v/>
      </c>
      <c r="U196" s="34" t="str">
        <f>IF(OR($Q196="",$R196=""),"",MAX(0,ROUND(($R196-$Q196)*1440,0)))</f>
        <v/>
      </c>
      <c r="V196" s="35" t="str">
        <f>IF($A196="","",IF($O196="No-show","Sim","Não"))</f>
        <v/>
      </c>
      <c r="W196" s="32"/>
    </row>
    <row r="197" spans="1:23" x14ac:dyDescent="0.25">
      <c r="A197" s="24"/>
      <c r="B197" s="25"/>
      <c r="C197" s="26"/>
      <c r="D197" s="24"/>
      <c r="E197" s="24"/>
      <c r="F197" s="24"/>
      <c r="G197" s="24"/>
      <c r="H197" s="24"/>
      <c r="I197" s="24"/>
      <c r="J197" s="27"/>
      <c r="K197" s="24"/>
      <c r="L197" s="24"/>
      <c r="M197" s="24"/>
      <c r="N197" s="24"/>
      <c r="O197" s="24"/>
      <c r="P197" s="26"/>
      <c r="Q197" s="26"/>
      <c r="R197" s="26"/>
      <c r="S197" s="34" t="str">
        <f>IF(OR($C197="",$P197=""),"",MAX(0,ROUND(($P197-$C197)*1440,0)))</f>
        <v/>
      </c>
      <c r="T197" s="34" t="str">
        <f>IF(OR($P197="",$Q197=""),"",MAX(0,ROUND(($Q197-$P197)*1440,0)))</f>
        <v/>
      </c>
      <c r="U197" s="34" t="str">
        <f>IF(OR($Q197="",$R197=""),"",MAX(0,ROUND(($R197-$Q197)*1440,0)))</f>
        <v/>
      </c>
      <c r="V197" s="35" t="str">
        <f>IF($A197="","",IF($O197="No-show","Sim","Não"))</f>
        <v/>
      </c>
      <c r="W197" s="32"/>
    </row>
    <row r="198" spans="1:23" x14ac:dyDescent="0.25">
      <c r="A198" s="24"/>
      <c r="B198" s="25"/>
      <c r="C198" s="26"/>
      <c r="D198" s="24"/>
      <c r="E198" s="24"/>
      <c r="F198" s="24"/>
      <c r="G198" s="24"/>
      <c r="H198" s="24"/>
      <c r="I198" s="24"/>
      <c r="J198" s="27"/>
      <c r="K198" s="24"/>
      <c r="L198" s="24"/>
      <c r="M198" s="24"/>
      <c r="N198" s="24"/>
      <c r="O198" s="24"/>
      <c r="P198" s="26"/>
      <c r="Q198" s="26"/>
      <c r="R198" s="26"/>
      <c r="S198" s="34" t="str">
        <f>IF(OR($C198="",$P198=""),"",MAX(0,ROUND(($P198-$C198)*1440,0)))</f>
        <v/>
      </c>
      <c r="T198" s="34" t="str">
        <f>IF(OR($P198="",$Q198=""),"",MAX(0,ROUND(($Q198-$P198)*1440,0)))</f>
        <v/>
      </c>
      <c r="U198" s="34" t="str">
        <f>IF(OR($Q198="",$R198=""),"",MAX(0,ROUND(($R198-$Q198)*1440,0)))</f>
        <v/>
      </c>
      <c r="V198" s="35" t="str">
        <f>IF($A198="","",IF($O198="No-show","Sim","Não"))</f>
        <v/>
      </c>
      <c r="W198" s="32"/>
    </row>
    <row r="199" spans="1:23" x14ac:dyDescent="0.25">
      <c r="A199" s="24"/>
      <c r="B199" s="25"/>
      <c r="C199" s="26"/>
      <c r="D199" s="24"/>
      <c r="E199" s="24"/>
      <c r="F199" s="24"/>
      <c r="G199" s="24"/>
      <c r="H199" s="24"/>
      <c r="I199" s="24"/>
      <c r="J199" s="27"/>
      <c r="K199" s="24"/>
      <c r="L199" s="24"/>
      <c r="M199" s="24"/>
      <c r="N199" s="24"/>
      <c r="O199" s="24"/>
      <c r="P199" s="26"/>
      <c r="Q199" s="26"/>
      <c r="R199" s="26"/>
      <c r="S199" s="34" t="str">
        <f>IF(OR($C199="",$P199=""),"",MAX(0,ROUND(($P199-$C199)*1440,0)))</f>
        <v/>
      </c>
      <c r="T199" s="34" t="str">
        <f>IF(OR($P199="",$Q199=""),"",MAX(0,ROUND(($Q199-$P199)*1440,0)))</f>
        <v/>
      </c>
      <c r="U199" s="34" t="str">
        <f>IF(OR($Q199="",$R199=""),"",MAX(0,ROUND(($R199-$Q199)*1440,0)))</f>
        <v/>
      </c>
      <c r="V199" s="35" t="str">
        <f>IF($A199="","",IF($O199="No-show","Sim","Não"))</f>
        <v/>
      </c>
      <c r="W199" s="32"/>
    </row>
    <row r="200" spans="1:23" x14ac:dyDescent="0.25">
      <c r="A200" s="24"/>
      <c r="B200" s="25"/>
      <c r="C200" s="26"/>
      <c r="D200" s="24"/>
      <c r="E200" s="24"/>
      <c r="F200" s="24"/>
      <c r="G200" s="24"/>
      <c r="H200" s="24"/>
      <c r="I200" s="24"/>
      <c r="J200" s="27"/>
      <c r="K200" s="24"/>
      <c r="L200" s="24"/>
      <c r="M200" s="24"/>
      <c r="N200" s="24"/>
      <c r="O200" s="24"/>
      <c r="P200" s="26"/>
      <c r="Q200" s="26"/>
      <c r="R200" s="26"/>
      <c r="S200" s="34" t="str">
        <f>IF(OR($C200="",$P200=""),"",MAX(0,ROUND(($P200-$C200)*1440,0)))</f>
        <v/>
      </c>
      <c r="T200" s="34" t="str">
        <f>IF(OR($P200="",$Q200=""),"",MAX(0,ROUND(($Q200-$P200)*1440,0)))</f>
        <v/>
      </c>
      <c r="U200" s="34" t="str">
        <f>IF(OR($Q200="",$R200=""),"",MAX(0,ROUND(($R200-$Q200)*1440,0)))</f>
        <v/>
      </c>
      <c r="V200" s="35" t="str">
        <f>IF($A200="","",IF($O200="No-show","Sim","Não"))</f>
        <v/>
      </c>
      <c r="W200" s="32"/>
    </row>
    <row r="201" spans="1:23" x14ac:dyDescent="0.25">
      <c r="A201" s="24"/>
      <c r="B201" s="25"/>
      <c r="C201" s="26"/>
      <c r="D201" s="24"/>
      <c r="E201" s="24"/>
      <c r="F201" s="24"/>
      <c r="G201" s="24"/>
      <c r="H201" s="24"/>
      <c r="I201" s="24"/>
      <c r="J201" s="27"/>
      <c r="K201" s="24"/>
      <c r="L201" s="24"/>
      <c r="M201" s="24"/>
      <c r="N201" s="24"/>
      <c r="O201" s="24"/>
      <c r="P201" s="26"/>
      <c r="Q201" s="26"/>
      <c r="R201" s="26"/>
      <c r="S201" s="34" t="str">
        <f>IF(OR($C201="",$P201=""),"",MAX(0,ROUND(($P201-$C201)*1440,0)))</f>
        <v/>
      </c>
      <c r="T201" s="34" t="str">
        <f>IF(OR($P201="",$Q201=""),"",MAX(0,ROUND(($Q201-$P201)*1440,0)))</f>
        <v/>
      </c>
      <c r="U201" s="34" t="str">
        <f>IF(OR($Q201="",$R201=""),"",MAX(0,ROUND(($R201-$Q201)*1440,0)))</f>
        <v/>
      </c>
      <c r="V201" s="35" t="str">
        <f>IF($A201="","",IF($O201="No-show","Sim","Não"))</f>
        <v/>
      </c>
      <c r="W201" s="32"/>
    </row>
    <row r="202" spans="1:23" x14ac:dyDescent="0.25">
      <c r="A202" s="24"/>
      <c r="B202" s="25"/>
      <c r="C202" s="26"/>
      <c r="D202" s="24"/>
      <c r="E202" s="24"/>
      <c r="F202" s="24"/>
      <c r="G202" s="24"/>
      <c r="H202" s="24"/>
      <c r="I202" s="24"/>
      <c r="J202" s="27"/>
      <c r="K202" s="24"/>
      <c r="L202" s="24"/>
      <c r="M202" s="24"/>
      <c r="N202" s="24"/>
      <c r="O202" s="24"/>
      <c r="P202" s="26"/>
      <c r="Q202" s="26"/>
      <c r="R202" s="26"/>
      <c r="S202" s="34" t="str">
        <f>IF(OR($C202="",$P202=""),"",MAX(0,ROUND(($P202-$C202)*1440,0)))</f>
        <v/>
      </c>
      <c r="T202" s="34" t="str">
        <f>IF(OR($P202="",$Q202=""),"",MAX(0,ROUND(($Q202-$P202)*1440,0)))</f>
        <v/>
      </c>
      <c r="U202" s="34" t="str">
        <f>IF(OR($Q202="",$R202=""),"",MAX(0,ROUND(($R202-$Q202)*1440,0)))</f>
        <v/>
      </c>
      <c r="V202" s="35" t="str">
        <f>IF($A202="","",IF($O202="No-show","Sim","Não"))</f>
        <v/>
      </c>
      <c r="W202" s="32"/>
    </row>
    <row r="203" spans="1:23" x14ac:dyDescent="0.25">
      <c r="A203" s="24"/>
      <c r="B203" s="25"/>
      <c r="C203" s="26"/>
      <c r="D203" s="24"/>
      <c r="E203" s="24"/>
      <c r="F203" s="24"/>
      <c r="G203" s="24"/>
      <c r="H203" s="24"/>
      <c r="I203" s="24"/>
      <c r="J203" s="27"/>
      <c r="K203" s="24"/>
      <c r="L203" s="24"/>
      <c r="M203" s="24"/>
      <c r="N203" s="24"/>
      <c r="O203" s="24"/>
      <c r="P203" s="26"/>
      <c r="Q203" s="26"/>
      <c r="R203" s="26"/>
      <c r="S203" s="34" t="str">
        <f>IF(OR($C203="",$P203=""),"",MAX(0,ROUND(($P203-$C203)*1440,0)))</f>
        <v/>
      </c>
      <c r="T203" s="34" t="str">
        <f>IF(OR($P203="",$Q203=""),"",MAX(0,ROUND(($Q203-$P203)*1440,0)))</f>
        <v/>
      </c>
      <c r="U203" s="34" t="str">
        <f>IF(OR($Q203="",$R203=""),"",MAX(0,ROUND(($R203-$Q203)*1440,0)))</f>
        <v/>
      </c>
      <c r="V203" s="35" t="str">
        <f>IF($A203="","",IF($O203="No-show","Sim","Não"))</f>
        <v/>
      </c>
      <c r="W203" s="32"/>
    </row>
    <row r="204" spans="1:23" x14ac:dyDescent="0.25">
      <c r="A204" s="24"/>
      <c r="B204" s="25"/>
      <c r="C204" s="26"/>
      <c r="D204" s="24"/>
      <c r="E204" s="24"/>
      <c r="F204" s="24"/>
      <c r="G204" s="24"/>
      <c r="H204" s="24"/>
      <c r="I204" s="24"/>
      <c r="J204" s="27"/>
      <c r="K204" s="24"/>
      <c r="L204" s="24"/>
      <c r="M204" s="24"/>
      <c r="N204" s="24"/>
      <c r="O204" s="24"/>
      <c r="P204" s="26"/>
      <c r="Q204" s="26"/>
      <c r="R204" s="26"/>
      <c r="S204" s="34" t="str">
        <f>IF(OR($C204="",$P204=""),"",MAX(0,ROUND(($P204-$C204)*1440,0)))</f>
        <v/>
      </c>
      <c r="T204" s="34" t="str">
        <f>IF(OR($P204="",$Q204=""),"",MAX(0,ROUND(($Q204-$P204)*1440,0)))</f>
        <v/>
      </c>
      <c r="U204" s="34" t="str">
        <f>IF(OR($Q204="",$R204=""),"",MAX(0,ROUND(($R204-$Q204)*1440,0)))</f>
        <v/>
      </c>
      <c r="V204" s="35" t="str">
        <f>IF($A204="","",IF($O204="No-show","Sim","Não"))</f>
        <v/>
      </c>
      <c r="W204" s="32"/>
    </row>
    <row r="205" spans="1:23" x14ac:dyDescent="0.25">
      <c r="A205" s="24"/>
      <c r="B205" s="25"/>
      <c r="C205" s="26"/>
      <c r="D205" s="24"/>
      <c r="E205" s="24"/>
      <c r="F205" s="24"/>
      <c r="G205" s="24"/>
      <c r="H205" s="24"/>
      <c r="I205" s="24"/>
      <c r="J205" s="27"/>
      <c r="K205" s="24"/>
      <c r="L205" s="24"/>
      <c r="M205" s="24"/>
      <c r="N205" s="24"/>
      <c r="O205" s="24"/>
      <c r="P205" s="26"/>
      <c r="Q205" s="26"/>
      <c r="R205" s="26"/>
      <c r="S205" s="34" t="str">
        <f>IF(OR($C205="",$P205=""),"",MAX(0,ROUND(($P205-$C205)*1440,0)))</f>
        <v/>
      </c>
      <c r="T205" s="34" t="str">
        <f>IF(OR($P205="",$Q205=""),"",MAX(0,ROUND(($Q205-$P205)*1440,0)))</f>
        <v/>
      </c>
      <c r="U205" s="34" t="str">
        <f>IF(OR($Q205="",$R205=""),"",MAX(0,ROUND(($R205-$Q205)*1440,0)))</f>
        <v/>
      </c>
      <c r="V205" s="35" t="str">
        <f>IF($A205="","",IF($O205="No-show","Sim","Não"))</f>
        <v/>
      </c>
      <c r="W205" s="32"/>
    </row>
    <row r="206" spans="1:23" x14ac:dyDescent="0.25">
      <c r="A206" s="24"/>
      <c r="B206" s="25"/>
      <c r="C206" s="26"/>
      <c r="D206" s="24"/>
      <c r="E206" s="24"/>
      <c r="F206" s="24"/>
      <c r="G206" s="24"/>
      <c r="H206" s="24"/>
      <c r="I206" s="24"/>
      <c r="J206" s="27"/>
      <c r="K206" s="24"/>
      <c r="L206" s="24"/>
      <c r="M206" s="24"/>
      <c r="N206" s="24"/>
      <c r="O206" s="24"/>
      <c r="P206" s="26"/>
      <c r="Q206" s="26"/>
      <c r="R206" s="26"/>
      <c r="S206" s="34" t="str">
        <f>IF(OR($C206="",$P206=""),"",MAX(0,ROUND(($P206-$C206)*1440,0)))</f>
        <v/>
      </c>
      <c r="T206" s="34" t="str">
        <f>IF(OR($P206="",$Q206=""),"",MAX(0,ROUND(($Q206-$P206)*1440,0)))</f>
        <v/>
      </c>
      <c r="U206" s="34" t="str">
        <f>IF(OR($Q206="",$R206=""),"",MAX(0,ROUND(($R206-$Q206)*1440,0)))</f>
        <v/>
      </c>
      <c r="V206" s="35" t="str">
        <f>IF($A206="","",IF($O206="No-show","Sim","Não"))</f>
        <v/>
      </c>
      <c r="W206" s="32"/>
    </row>
    <row r="207" spans="1:23" x14ac:dyDescent="0.25">
      <c r="A207" s="24"/>
      <c r="B207" s="25"/>
      <c r="C207" s="26"/>
      <c r="D207" s="24"/>
      <c r="E207" s="24"/>
      <c r="F207" s="24"/>
      <c r="G207" s="24"/>
      <c r="H207" s="24"/>
      <c r="I207" s="24"/>
      <c r="J207" s="27"/>
      <c r="K207" s="24"/>
      <c r="L207" s="24"/>
      <c r="M207" s="24"/>
      <c r="N207" s="24"/>
      <c r="O207" s="24"/>
      <c r="P207" s="26"/>
      <c r="Q207" s="26"/>
      <c r="R207" s="26"/>
      <c r="S207" s="34" t="str">
        <f>IF(OR($C207="",$P207=""),"",MAX(0,ROUND(($P207-$C207)*1440,0)))</f>
        <v/>
      </c>
      <c r="T207" s="34" t="str">
        <f>IF(OR($P207="",$Q207=""),"",MAX(0,ROUND(($Q207-$P207)*1440,0)))</f>
        <v/>
      </c>
      <c r="U207" s="34" t="str">
        <f>IF(OR($Q207="",$R207=""),"",MAX(0,ROUND(($R207-$Q207)*1440,0)))</f>
        <v/>
      </c>
      <c r="V207" s="35" t="str">
        <f>IF($A207="","",IF($O207="No-show","Sim","Não"))</f>
        <v/>
      </c>
      <c r="W207" s="32"/>
    </row>
    <row r="208" spans="1:23" x14ac:dyDescent="0.25">
      <c r="A208" s="24"/>
      <c r="B208" s="25"/>
      <c r="C208" s="26"/>
      <c r="D208" s="24"/>
      <c r="E208" s="24"/>
      <c r="F208" s="24"/>
      <c r="G208" s="24"/>
      <c r="H208" s="24"/>
      <c r="I208" s="24"/>
      <c r="J208" s="27"/>
      <c r="K208" s="24"/>
      <c r="L208" s="24"/>
      <c r="M208" s="24"/>
      <c r="N208" s="24"/>
      <c r="O208" s="24"/>
      <c r="P208" s="26"/>
      <c r="Q208" s="26"/>
      <c r="R208" s="26"/>
      <c r="S208" s="34" t="str">
        <f>IF(OR($C208="",$P208=""),"",MAX(0,ROUND(($P208-$C208)*1440,0)))</f>
        <v/>
      </c>
      <c r="T208" s="34" t="str">
        <f>IF(OR($P208="",$Q208=""),"",MAX(0,ROUND(($Q208-$P208)*1440,0)))</f>
        <v/>
      </c>
      <c r="U208" s="34" t="str">
        <f>IF(OR($Q208="",$R208=""),"",MAX(0,ROUND(($R208-$Q208)*1440,0)))</f>
        <v/>
      </c>
      <c r="V208" s="35" t="str">
        <f>IF($A208="","",IF($O208="No-show","Sim","Não"))</f>
        <v/>
      </c>
      <c r="W208" s="32"/>
    </row>
    <row r="209" spans="1:23" x14ac:dyDescent="0.25">
      <c r="A209" s="24"/>
      <c r="B209" s="25"/>
      <c r="C209" s="26"/>
      <c r="D209" s="24"/>
      <c r="E209" s="24"/>
      <c r="F209" s="24"/>
      <c r="G209" s="24"/>
      <c r="H209" s="24"/>
      <c r="I209" s="24"/>
      <c r="J209" s="27"/>
      <c r="K209" s="24"/>
      <c r="L209" s="24"/>
      <c r="M209" s="24"/>
      <c r="N209" s="24"/>
      <c r="O209" s="24"/>
      <c r="P209" s="26"/>
      <c r="Q209" s="26"/>
      <c r="R209" s="26"/>
      <c r="S209" s="34" t="str">
        <f>IF(OR($C209="",$P209=""),"",MAX(0,ROUND(($P209-$C209)*1440,0)))</f>
        <v/>
      </c>
      <c r="T209" s="34" t="str">
        <f>IF(OR($P209="",$Q209=""),"",MAX(0,ROUND(($Q209-$P209)*1440,0)))</f>
        <v/>
      </c>
      <c r="U209" s="34" t="str">
        <f>IF(OR($Q209="",$R209=""),"",MAX(0,ROUND(($R209-$Q209)*1440,0)))</f>
        <v/>
      </c>
      <c r="V209" s="35" t="str">
        <f>IF($A209="","",IF($O209="No-show","Sim","Não"))</f>
        <v/>
      </c>
      <c r="W209" s="32"/>
    </row>
    <row r="210" spans="1:23" x14ac:dyDescent="0.25">
      <c r="A210" s="24"/>
      <c r="B210" s="25"/>
      <c r="C210" s="26"/>
      <c r="D210" s="24"/>
      <c r="E210" s="24"/>
      <c r="F210" s="24"/>
      <c r="G210" s="24"/>
      <c r="H210" s="24"/>
      <c r="I210" s="24"/>
      <c r="J210" s="27"/>
      <c r="K210" s="24"/>
      <c r="L210" s="24"/>
      <c r="M210" s="24"/>
      <c r="N210" s="24"/>
      <c r="O210" s="24"/>
      <c r="P210" s="26"/>
      <c r="Q210" s="26"/>
      <c r="R210" s="26"/>
      <c r="S210" s="34" t="str">
        <f>IF(OR($C210="",$P210=""),"",MAX(0,ROUND(($P210-$C210)*1440,0)))</f>
        <v/>
      </c>
      <c r="T210" s="34" t="str">
        <f>IF(OR($P210="",$Q210=""),"",MAX(0,ROUND(($Q210-$P210)*1440,0)))</f>
        <v/>
      </c>
      <c r="U210" s="34" t="str">
        <f>IF(OR($Q210="",$R210=""),"",MAX(0,ROUND(($R210-$Q210)*1440,0)))</f>
        <v/>
      </c>
      <c r="V210" s="35" t="str">
        <f>IF($A210="","",IF($O210="No-show","Sim","Não"))</f>
        <v/>
      </c>
      <c r="W210" s="32"/>
    </row>
    <row r="211" spans="1:23" x14ac:dyDescent="0.25">
      <c r="A211" s="24"/>
      <c r="B211" s="25"/>
      <c r="C211" s="26"/>
      <c r="D211" s="24"/>
      <c r="E211" s="24"/>
      <c r="F211" s="24"/>
      <c r="G211" s="24"/>
      <c r="H211" s="24"/>
      <c r="I211" s="24"/>
      <c r="J211" s="27"/>
      <c r="K211" s="24"/>
      <c r="L211" s="24"/>
      <c r="M211" s="24"/>
      <c r="N211" s="24"/>
      <c r="O211" s="24"/>
      <c r="P211" s="26"/>
      <c r="Q211" s="26"/>
      <c r="R211" s="26"/>
      <c r="S211" s="34" t="str">
        <f>IF(OR($C211="",$P211=""),"",MAX(0,ROUND(($P211-$C211)*1440,0)))</f>
        <v/>
      </c>
      <c r="T211" s="34" t="str">
        <f>IF(OR($P211="",$Q211=""),"",MAX(0,ROUND(($Q211-$P211)*1440,0)))</f>
        <v/>
      </c>
      <c r="U211" s="34" t="str">
        <f>IF(OR($Q211="",$R211=""),"",MAX(0,ROUND(($R211-$Q211)*1440,0)))</f>
        <v/>
      </c>
      <c r="V211" s="35" t="str">
        <f>IF($A211="","",IF($O211="No-show","Sim","Não"))</f>
        <v/>
      </c>
      <c r="W211" s="32"/>
    </row>
    <row r="212" spans="1:23" x14ac:dyDescent="0.25">
      <c r="A212" s="24"/>
      <c r="B212" s="25"/>
      <c r="C212" s="26"/>
      <c r="D212" s="24"/>
      <c r="E212" s="24"/>
      <c r="F212" s="24"/>
      <c r="G212" s="24"/>
      <c r="H212" s="24"/>
      <c r="I212" s="24"/>
      <c r="J212" s="27"/>
      <c r="K212" s="24"/>
      <c r="L212" s="24"/>
      <c r="M212" s="24"/>
      <c r="N212" s="24"/>
      <c r="O212" s="24"/>
      <c r="P212" s="26"/>
      <c r="Q212" s="26"/>
      <c r="R212" s="26"/>
      <c r="S212" s="34" t="str">
        <f>IF(OR($C212="",$P212=""),"",MAX(0,ROUND(($P212-$C212)*1440,0)))</f>
        <v/>
      </c>
      <c r="T212" s="34" t="str">
        <f>IF(OR($P212="",$Q212=""),"",MAX(0,ROUND(($Q212-$P212)*1440,0)))</f>
        <v/>
      </c>
      <c r="U212" s="34" t="str">
        <f>IF(OR($Q212="",$R212=""),"",MAX(0,ROUND(($R212-$Q212)*1440,0)))</f>
        <v/>
      </c>
      <c r="V212" s="35" t="str">
        <f>IF($A212="","",IF($O212="No-show","Sim","Não"))</f>
        <v/>
      </c>
      <c r="W212" s="32"/>
    </row>
    <row r="213" spans="1:23" x14ac:dyDescent="0.25">
      <c r="A213" s="24"/>
      <c r="B213" s="25"/>
      <c r="C213" s="26"/>
      <c r="D213" s="24"/>
      <c r="E213" s="24"/>
      <c r="F213" s="24"/>
      <c r="G213" s="24"/>
      <c r="H213" s="24"/>
      <c r="I213" s="24"/>
      <c r="J213" s="27"/>
      <c r="K213" s="24"/>
      <c r="L213" s="24"/>
      <c r="M213" s="24"/>
      <c r="N213" s="24"/>
      <c r="O213" s="24"/>
      <c r="P213" s="26"/>
      <c r="Q213" s="26"/>
      <c r="R213" s="26"/>
      <c r="S213" s="34" t="str">
        <f>IF(OR($C213="",$P213=""),"",MAX(0,ROUND(($P213-$C213)*1440,0)))</f>
        <v/>
      </c>
      <c r="T213" s="34" t="str">
        <f>IF(OR($P213="",$Q213=""),"",MAX(0,ROUND(($Q213-$P213)*1440,0)))</f>
        <v/>
      </c>
      <c r="U213" s="34" t="str">
        <f>IF(OR($Q213="",$R213=""),"",MAX(0,ROUND(($R213-$Q213)*1440,0)))</f>
        <v/>
      </c>
      <c r="V213" s="35" t="str">
        <f>IF($A213="","",IF($O213="No-show","Sim","Não"))</f>
        <v/>
      </c>
      <c r="W213" s="32"/>
    </row>
    <row r="214" spans="1:23" x14ac:dyDescent="0.25">
      <c r="A214" s="24"/>
      <c r="B214" s="25"/>
      <c r="C214" s="26"/>
      <c r="D214" s="24"/>
      <c r="E214" s="24"/>
      <c r="F214" s="24"/>
      <c r="G214" s="24"/>
      <c r="H214" s="24"/>
      <c r="I214" s="24"/>
      <c r="J214" s="27"/>
      <c r="K214" s="24"/>
      <c r="L214" s="24"/>
      <c r="M214" s="24"/>
      <c r="N214" s="24"/>
      <c r="O214" s="24"/>
      <c r="P214" s="26"/>
      <c r="Q214" s="26"/>
      <c r="R214" s="26"/>
      <c r="S214" s="34" t="str">
        <f>IF(OR($C214="",$P214=""),"",MAX(0,ROUND(($P214-$C214)*1440,0)))</f>
        <v/>
      </c>
      <c r="T214" s="34" t="str">
        <f>IF(OR($P214="",$Q214=""),"",MAX(0,ROUND(($Q214-$P214)*1440,0)))</f>
        <v/>
      </c>
      <c r="U214" s="34" t="str">
        <f>IF(OR($Q214="",$R214=""),"",MAX(0,ROUND(($R214-$Q214)*1440,0)))</f>
        <v/>
      </c>
      <c r="V214" s="35" t="str">
        <f>IF($A214="","",IF($O214="No-show","Sim","Não"))</f>
        <v/>
      </c>
      <c r="W214" s="32"/>
    </row>
    <row r="215" spans="1:23" x14ac:dyDescent="0.25">
      <c r="A215" s="24"/>
      <c r="B215" s="25"/>
      <c r="C215" s="26"/>
      <c r="D215" s="24"/>
      <c r="E215" s="24"/>
      <c r="F215" s="24"/>
      <c r="G215" s="24"/>
      <c r="H215" s="24"/>
      <c r="I215" s="24"/>
      <c r="J215" s="27"/>
      <c r="K215" s="24"/>
      <c r="L215" s="24"/>
      <c r="M215" s="24"/>
      <c r="N215" s="24"/>
      <c r="O215" s="24"/>
      <c r="P215" s="26"/>
      <c r="Q215" s="26"/>
      <c r="R215" s="26"/>
      <c r="S215" s="34" t="str">
        <f>IF(OR($C215="",$P215=""),"",MAX(0,ROUND(($P215-$C215)*1440,0)))</f>
        <v/>
      </c>
      <c r="T215" s="34" t="str">
        <f>IF(OR($P215="",$Q215=""),"",MAX(0,ROUND(($Q215-$P215)*1440,0)))</f>
        <v/>
      </c>
      <c r="U215" s="34" t="str">
        <f>IF(OR($Q215="",$R215=""),"",MAX(0,ROUND(($R215-$Q215)*1440,0)))</f>
        <v/>
      </c>
      <c r="V215" s="35" t="str">
        <f>IF($A215="","",IF($O215="No-show","Sim","Não"))</f>
        <v/>
      </c>
      <c r="W215" s="32"/>
    </row>
    <row r="216" spans="1:23" x14ac:dyDescent="0.25">
      <c r="A216" s="24"/>
      <c r="B216" s="25"/>
      <c r="C216" s="26"/>
      <c r="D216" s="24"/>
      <c r="E216" s="24"/>
      <c r="F216" s="24"/>
      <c r="G216" s="24"/>
      <c r="H216" s="24"/>
      <c r="I216" s="24"/>
      <c r="J216" s="27"/>
      <c r="K216" s="24"/>
      <c r="L216" s="24"/>
      <c r="M216" s="24"/>
      <c r="N216" s="24"/>
      <c r="O216" s="24"/>
      <c r="P216" s="26"/>
      <c r="Q216" s="26"/>
      <c r="R216" s="26"/>
      <c r="S216" s="34" t="str">
        <f>IF(OR($C216="",$P216=""),"",MAX(0,ROUND(($P216-$C216)*1440,0)))</f>
        <v/>
      </c>
      <c r="T216" s="34" t="str">
        <f>IF(OR($P216="",$Q216=""),"",MAX(0,ROUND(($Q216-$P216)*1440,0)))</f>
        <v/>
      </c>
      <c r="U216" s="34" t="str">
        <f>IF(OR($Q216="",$R216=""),"",MAX(0,ROUND(($R216-$Q216)*1440,0)))</f>
        <v/>
      </c>
      <c r="V216" s="35" t="str">
        <f>IF($A216="","",IF($O216="No-show","Sim","Não"))</f>
        <v/>
      </c>
      <c r="W216" s="32"/>
    </row>
    <row r="217" spans="1:23" x14ac:dyDescent="0.25">
      <c r="A217" s="24"/>
      <c r="B217" s="25"/>
      <c r="C217" s="26"/>
      <c r="D217" s="24"/>
      <c r="E217" s="24"/>
      <c r="F217" s="24"/>
      <c r="G217" s="24"/>
      <c r="H217" s="24"/>
      <c r="I217" s="24"/>
      <c r="J217" s="27"/>
      <c r="K217" s="24"/>
      <c r="L217" s="24"/>
      <c r="M217" s="24"/>
      <c r="N217" s="24"/>
      <c r="O217" s="24"/>
      <c r="P217" s="26"/>
      <c r="Q217" s="26"/>
      <c r="R217" s="26"/>
      <c r="S217" s="34" t="str">
        <f>IF(OR($C217="",$P217=""),"",MAX(0,ROUND(($P217-$C217)*1440,0)))</f>
        <v/>
      </c>
      <c r="T217" s="34" t="str">
        <f>IF(OR($P217="",$Q217=""),"",MAX(0,ROUND(($Q217-$P217)*1440,0)))</f>
        <v/>
      </c>
      <c r="U217" s="34" t="str">
        <f>IF(OR($Q217="",$R217=""),"",MAX(0,ROUND(($R217-$Q217)*1440,0)))</f>
        <v/>
      </c>
      <c r="V217" s="35" t="str">
        <f>IF($A217="","",IF($O217="No-show","Sim","Não"))</f>
        <v/>
      </c>
      <c r="W217" s="32"/>
    </row>
    <row r="218" spans="1:23" x14ac:dyDescent="0.25">
      <c r="A218" s="24"/>
      <c r="B218" s="25"/>
      <c r="C218" s="26"/>
      <c r="D218" s="24"/>
      <c r="E218" s="24"/>
      <c r="F218" s="24"/>
      <c r="G218" s="24"/>
      <c r="H218" s="24"/>
      <c r="I218" s="24"/>
      <c r="J218" s="27"/>
      <c r="K218" s="24"/>
      <c r="L218" s="24"/>
      <c r="M218" s="24"/>
      <c r="N218" s="24"/>
      <c r="O218" s="24"/>
      <c r="P218" s="26"/>
      <c r="Q218" s="26"/>
      <c r="R218" s="26"/>
      <c r="S218" s="34" t="str">
        <f>IF(OR($C218="",$P218=""),"",MAX(0,ROUND(($P218-$C218)*1440,0)))</f>
        <v/>
      </c>
      <c r="T218" s="34" t="str">
        <f>IF(OR($P218="",$Q218=""),"",MAX(0,ROUND(($Q218-$P218)*1440,0)))</f>
        <v/>
      </c>
      <c r="U218" s="34" t="str">
        <f>IF(OR($Q218="",$R218=""),"",MAX(0,ROUND(($R218-$Q218)*1440,0)))</f>
        <v/>
      </c>
      <c r="V218" s="35" t="str">
        <f>IF($A218="","",IF($O218="No-show","Sim","Não"))</f>
        <v/>
      </c>
      <c r="W218" s="32"/>
    </row>
    <row r="219" spans="1:23" x14ac:dyDescent="0.25">
      <c r="A219" s="24"/>
      <c r="B219" s="25"/>
      <c r="C219" s="26"/>
      <c r="D219" s="24"/>
      <c r="E219" s="24"/>
      <c r="F219" s="24"/>
      <c r="G219" s="24"/>
      <c r="H219" s="24"/>
      <c r="I219" s="24"/>
      <c r="J219" s="27"/>
      <c r="K219" s="24"/>
      <c r="L219" s="24"/>
      <c r="M219" s="24"/>
      <c r="N219" s="24"/>
      <c r="O219" s="24"/>
      <c r="P219" s="26"/>
      <c r="Q219" s="26"/>
      <c r="R219" s="26"/>
      <c r="S219" s="34" t="str">
        <f>IF(OR($C219="",$P219=""),"",MAX(0,ROUND(($P219-$C219)*1440,0)))</f>
        <v/>
      </c>
      <c r="T219" s="34" t="str">
        <f>IF(OR($P219="",$Q219=""),"",MAX(0,ROUND(($Q219-$P219)*1440,0)))</f>
        <v/>
      </c>
      <c r="U219" s="34" t="str">
        <f>IF(OR($Q219="",$R219=""),"",MAX(0,ROUND(($R219-$Q219)*1440,0)))</f>
        <v/>
      </c>
      <c r="V219" s="35" t="str">
        <f>IF($A219="","",IF($O219="No-show","Sim","Não"))</f>
        <v/>
      </c>
      <c r="W219" s="32"/>
    </row>
    <row r="220" spans="1:23" x14ac:dyDescent="0.25">
      <c r="A220" s="24"/>
      <c r="B220" s="25"/>
      <c r="C220" s="26"/>
      <c r="D220" s="24"/>
      <c r="E220" s="24"/>
      <c r="F220" s="24"/>
      <c r="G220" s="24"/>
      <c r="H220" s="24"/>
      <c r="I220" s="24"/>
      <c r="J220" s="27"/>
      <c r="K220" s="24"/>
      <c r="L220" s="24"/>
      <c r="M220" s="24"/>
      <c r="N220" s="24"/>
      <c r="O220" s="24"/>
      <c r="P220" s="26"/>
      <c r="Q220" s="26"/>
      <c r="R220" s="26"/>
      <c r="S220" s="34" t="str">
        <f>IF(OR($C220="",$P220=""),"",MAX(0,ROUND(($P220-$C220)*1440,0)))</f>
        <v/>
      </c>
      <c r="T220" s="34" t="str">
        <f>IF(OR($P220="",$Q220=""),"",MAX(0,ROUND(($Q220-$P220)*1440,0)))</f>
        <v/>
      </c>
      <c r="U220" s="34" t="str">
        <f>IF(OR($Q220="",$R220=""),"",MAX(0,ROUND(($R220-$Q220)*1440,0)))</f>
        <v/>
      </c>
      <c r="V220" s="35" t="str">
        <f>IF($A220="","",IF($O220="No-show","Sim","Não"))</f>
        <v/>
      </c>
      <c r="W220" s="32"/>
    </row>
    <row r="221" spans="1:23" x14ac:dyDescent="0.25">
      <c r="A221" s="24"/>
      <c r="B221" s="25"/>
      <c r="C221" s="26"/>
      <c r="D221" s="24"/>
      <c r="E221" s="24"/>
      <c r="F221" s="24"/>
      <c r="G221" s="24"/>
      <c r="H221" s="24"/>
      <c r="I221" s="24"/>
      <c r="J221" s="27"/>
      <c r="K221" s="24"/>
      <c r="L221" s="24"/>
      <c r="M221" s="24"/>
      <c r="N221" s="24"/>
      <c r="O221" s="24"/>
      <c r="P221" s="26"/>
      <c r="Q221" s="26"/>
      <c r="R221" s="26"/>
      <c r="S221" s="34" t="str">
        <f>IF(OR($C221="",$P221=""),"",MAX(0,ROUND(($P221-$C221)*1440,0)))</f>
        <v/>
      </c>
      <c r="T221" s="34" t="str">
        <f>IF(OR($P221="",$Q221=""),"",MAX(0,ROUND(($Q221-$P221)*1440,0)))</f>
        <v/>
      </c>
      <c r="U221" s="34" t="str">
        <f>IF(OR($Q221="",$R221=""),"",MAX(0,ROUND(($R221-$Q221)*1440,0)))</f>
        <v/>
      </c>
      <c r="V221" s="35" t="str">
        <f>IF($A221="","",IF($O221="No-show","Sim","Não"))</f>
        <v/>
      </c>
      <c r="W221" s="32"/>
    </row>
    <row r="222" spans="1:23" x14ac:dyDescent="0.25">
      <c r="A222" s="24"/>
      <c r="B222" s="25"/>
      <c r="C222" s="26"/>
      <c r="D222" s="24"/>
      <c r="E222" s="24"/>
      <c r="F222" s="24"/>
      <c r="G222" s="24"/>
      <c r="H222" s="24"/>
      <c r="I222" s="24"/>
      <c r="J222" s="27"/>
      <c r="K222" s="24"/>
      <c r="L222" s="24"/>
      <c r="M222" s="24"/>
      <c r="N222" s="24"/>
      <c r="O222" s="24"/>
      <c r="P222" s="26"/>
      <c r="Q222" s="26"/>
      <c r="R222" s="26"/>
      <c r="S222" s="34" t="str">
        <f>IF(OR($C222="",$P222=""),"",MAX(0,ROUND(($P222-$C222)*1440,0)))</f>
        <v/>
      </c>
      <c r="T222" s="34" t="str">
        <f>IF(OR($P222="",$Q222=""),"",MAX(0,ROUND(($Q222-$P222)*1440,0)))</f>
        <v/>
      </c>
      <c r="U222" s="34" t="str">
        <f>IF(OR($Q222="",$R222=""),"",MAX(0,ROUND(($R222-$Q222)*1440,0)))</f>
        <v/>
      </c>
      <c r="V222" s="35" t="str">
        <f>IF($A222="","",IF($O222="No-show","Sim","Não"))</f>
        <v/>
      </c>
      <c r="W222" s="32"/>
    </row>
    <row r="223" spans="1:23" x14ac:dyDescent="0.25">
      <c r="A223" s="24"/>
      <c r="B223" s="25"/>
      <c r="C223" s="26"/>
      <c r="D223" s="24"/>
      <c r="E223" s="24"/>
      <c r="F223" s="24"/>
      <c r="G223" s="24"/>
      <c r="H223" s="24"/>
      <c r="I223" s="24"/>
      <c r="J223" s="27"/>
      <c r="K223" s="24"/>
      <c r="L223" s="24"/>
      <c r="M223" s="24"/>
      <c r="N223" s="24"/>
      <c r="O223" s="24"/>
      <c r="P223" s="26"/>
      <c r="Q223" s="26"/>
      <c r="R223" s="26"/>
      <c r="S223" s="34" t="str">
        <f>IF(OR($C223="",$P223=""),"",MAX(0,ROUND(($P223-$C223)*1440,0)))</f>
        <v/>
      </c>
      <c r="T223" s="34" t="str">
        <f>IF(OR($P223="",$Q223=""),"",MAX(0,ROUND(($Q223-$P223)*1440,0)))</f>
        <v/>
      </c>
      <c r="U223" s="34" t="str">
        <f>IF(OR($Q223="",$R223=""),"",MAX(0,ROUND(($R223-$Q223)*1440,0)))</f>
        <v/>
      </c>
      <c r="V223" s="35" t="str">
        <f>IF($A223="","",IF($O223="No-show","Sim","Não"))</f>
        <v/>
      </c>
      <c r="W223" s="32"/>
    </row>
    <row r="224" spans="1:23" x14ac:dyDescent="0.25">
      <c r="A224" s="24"/>
      <c r="B224" s="25"/>
      <c r="C224" s="26"/>
      <c r="D224" s="24"/>
      <c r="E224" s="24"/>
      <c r="F224" s="24"/>
      <c r="G224" s="24"/>
      <c r="H224" s="24"/>
      <c r="I224" s="24"/>
      <c r="J224" s="27"/>
      <c r="K224" s="24"/>
      <c r="L224" s="24"/>
      <c r="M224" s="24"/>
      <c r="N224" s="24"/>
      <c r="O224" s="24"/>
      <c r="P224" s="26"/>
      <c r="Q224" s="26"/>
      <c r="R224" s="26"/>
      <c r="S224" s="34" t="str">
        <f>IF(OR($C224="",$P224=""),"",MAX(0,ROUND(($P224-$C224)*1440,0)))</f>
        <v/>
      </c>
      <c r="T224" s="34" t="str">
        <f>IF(OR($P224="",$Q224=""),"",MAX(0,ROUND(($Q224-$P224)*1440,0)))</f>
        <v/>
      </c>
      <c r="U224" s="34" t="str">
        <f>IF(OR($Q224="",$R224=""),"",MAX(0,ROUND(($R224-$Q224)*1440,0)))</f>
        <v/>
      </c>
      <c r="V224" s="35" t="str">
        <f>IF($A224="","",IF($O224="No-show","Sim","Não"))</f>
        <v/>
      </c>
      <c r="W224" s="32"/>
    </row>
    <row r="225" spans="1:23" x14ac:dyDescent="0.25">
      <c r="A225" s="24"/>
      <c r="B225" s="25"/>
      <c r="C225" s="26"/>
      <c r="D225" s="24"/>
      <c r="E225" s="24"/>
      <c r="F225" s="24"/>
      <c r="G225" s="24"/>
      <c r="H225" s="24"/>
      <c r="I225" s="24"/>
      <c r="J225" s="27"/>
      <c r="K225" s="24"/>
      <c r="L225" s="24"/>
      <c r="M225" s="24"/>
      <c r="N225" s="24"/>
      <c r="O225" s="24"/>
      <c r="P225" s="26"/>
      <c r="Q225" s="26"/>
      <c r="R225" s="26"/>
      <c r="S225" s="34" t="str">
        <f>IF(OR($C225="",$P225=""),"",MAX(0,ROUND(($P225-$C225)*1440,0)))</f>
        <v/>
      </c>
      <c r="T225" s="34" t="str">
        <f>IF(OR($P225="",$Q225=""),"",MAX(0,ROUND(($Q225-$P225)*1440,0)))</f>
        <v/>
      </c>
      <c r="U225" s="34" t="str">
        <f>IF(OR($Q225="",$R225=""),"",MAX(0,ROUND(($R225-$Q225)*1440,0)))</f>
        <v/>
      </c>
      <c r="V225" s="35" t="str">
        <f>IF($A225="","",IF($O225="No-show","Sim","Não"))</f>
        <v/>
      </c>
      <c r="W225" s="32"/>
    </row>
    <row r="226" spans="1:23" x14ac:dyDescent="0.25">
      <c r="A226" s="24"/>
      <c r="B226" s="25"/>
      <c r="C226" s="26"/>
      <c r="D226" s="24"/>
      <c r="E226" s="24"/>
      <c r="F226" s="24"/>
      <c r="G226" s="24"/>
      <c r="H226" s="24"/>
      <c r="I226" s="24"/>
      <c r="J226" s="27"/>
      <c r="K226" s="24"/>
      <c r="L226" s="24"/>
      <c r="M226" s="24"/>
      <c r="N226" s="24"/>
      <c r="O226" s="24"/>
      <c r="P226" s="26"/>
      <c r="Q226" s="26"/>
      <c r="R226" s="26"/>
      <c r="S226" s="34" t="str">
        <f>IF(OR($C226="",$P226=""),"",MAX(0,ROUND(($P226-$C226)*1440,0)))</f>
        <v/>
      </c>
      <c r="T226" s="34" t="str">
        <f>IF(OR($P226="",$Q226=""),"",MAX(0,ROUND(($Q226-$P226)*1440,0)))</f>
        <v/>
      </c>
      <c r="U226" s="34" t="str">
        <f>IF(OR($Q226="",$R226=""),"",MAX(0,ROUND(($R226-$Q226)*1440,0)))</f>
        <v/>
      </c>
      <c r="V226" s="35" t="str">
        <f>IF($A226="","",IF($O226="No-show","Sim","Não"))</f>
        <v/>
      </c>
      <c r="W226" s="32"/>
    </row>
    <row r="227" spans="1:23" x14ac:dyDescent="0.25">
      <c r="A227" s="24"/>
      <c r="B227" s="25"/>
      <c r="C227" s="26"/>
      <c r="D227" s="24"/>
      <c r="E227" s="24"/>
      <c r="F227" s="24"/>
      <c r="G227" s="24"/>
      <c r="H227" s="24"/>
      <c r="I227" s="24"/>
      <c r="J227" s="27"/>
      <c r="K227" s="24"/>
      <c r="L227" s="24"/>
      <c r="M227" s="24"/>
      <c r="N227" s="24"/>
      <c r="O227" s="24"/>
      <c r="P227" s="26"/>
      <c r="Q227" s="26"/>
      <c r="R227" s="26"/>
      <c r="S227" s="34" t="str">
        <f>IF(OR($C227="",$P227=""),"",MAX(0,ROUND(($P227-$C227)*1440,0)))</f>
        <v/>
      </c>
      <c r="T227" s="34" t="str">
        <f>IF(OR($P227="",$Q227=""),"",MAX(0,ROUND(($Q227-$P227)*1440,0)))</f>
        <v/>
      </c>
      <c r="U227" s="34" t="str">
        <f>IF(OR($Q227="",$R227=""),"",MAX(0,ROUND(($R227-$Q227)*1440,0)))</f>
        <v/>
      </c>
      <c r="V227" s="35" t="str">
        <f>IF($A227="","",IF($O227="No-show","Sim","Não"))</f>
        <v/>
      </c>
      <c r="W227" s="32"/>
    </row>
    <row r="228" spans="1:23" x14ac:dyDescent="0.25">
      <c r="A228" s="24"/>
      <c r="B228" s="25"/>
      <c r="C228" s="26"/>
      <c r="D228" s="24"/>
      <c r="E228" s="24"/>
      <c r="F228" s="24"/>
      <c r="G228" s="24"/>
      <c r="H228" s="24"/>
      <c r="I228" s="24"/>
      <c r="J228" s="27"/>
      <c r="K228" s="24"/>
      <c r="L228" s="24"/>
      <c r="M228" s="24"/>
      <c r="N228" s="24"/>
      <c r="O228" s="24"/>
      <c r="P228" s="26"/>
      <c r="Q228" s="26"/>
      <c r="R228" s="26"/>
      <c r="S228" s="34" t="str">
        <f>IF(OR($C228="",$P228=""),"",MAX(0,ROUND(($P228-$C228)*1440,0)))</f>
        <v/>
      </c>
      <c r="T228" s="34" t="str">
        <f>IF(OR($P228="",$Q228=""),"",MAX(0,ROUND(($Q228-$P228)*1440,0)))</f>
        <v/>
      </c>
      <c r="U228" s="34" t="str">
        <f>IF(OR($Q228="",$R228=""),"",MAX(0,ROUND(($R228-$Q228)*1440,0)))</f>
        <v/>
      </c>
      <c r="V228" s="35" t="str">
        <f>IF($A228="","",IF($O228="No-show","Sim","Não"))</f>
        <v/>
      </c>
      <c r="W228" s="32"/>
    </row>
    <row r="229" spans="1:23" x14ac:dyDescent="0.25">
      <c r="A229" s="24"/>
      <c r="B229" s="25"/>
      <c r="C229" s="26"/>
      <c r="D229" s="24"/>
      <c r="E229" s="24"/>
      <c r="F229" s="24"/>
      <c r="G229" s="24"/>
      <c r="H229" s="24"/>
      <c r="I229" s="24"/>
      <c r="J229" s="27"/>
      <c r="K229" s="24"/>
      <c r="L229" s="24"/>
      <c r="M229" s="24"/>
      <c r="N229" s="24"/>
      <c r="O229" s="24"/>
      <c r="P229" s="26"/>
      <c r="Q229" s="26"/>
      <c r="R229" s="26"/>
      <c r="S229" s="34" t="str">
        <f>IF(OR($C229="",$P229=""),"",MAX(0,ROUND(($P229-$C229)*1440,0)))</f>
        <v/>
      </c>
      <c r="T229" s="34" t="str">
        <f>IF(OR($P229="",$Q229=""),"",MAX(0,ROUND(($Q229-$P229)*1440,0)))</f>
        <v/>
      </c>
      <c r="U229" s="34" t="str">
        <f>IF(OR($Q229="",$R229=""),"",MAX(0,ROUND(($R229-$Q229)*1440,0)))</f>
        <v/>
      </c>
      <c r="V229" s="35" t="str">
        <f>IF($A229="","",IF($O229="No-show","Sim","Não"))</f>
        <v/>
      </c>
      <c r="W229" s="32"/>
    </row>
    <row r="230" spans="1:23" x14ac:dyDescent="0.25">
      <c r="A230" s="24"/>
      <c r="B230" s="25"/>
      <c r="C230" s="26"/>
      <c r="D230" s="24"/>
      <c r="E230" s="24"/>
      <c r="F230" s="24"/>
      <c r="G230" s="24"/>
      <c r="H230" s="24"/>
      <c r="I230" s="24"/>
      <c r="J230" s="27"/>
      <c r="K230" s="24"/>
      <c r="L230" s="24"/>
      <c r="M230" s="24"/>
      <c r="N230" s="24"/>
      <c r="O230" s="24"/>
      <c r="P230" s="26"/>
      <c r="Q230" s="26"/>
      <c r="R230" s="26"/>
      <c r="S230" s="34" t="str">
        <f>IF(OR($C230="",$P230=""),"",MAX(0,ROUND(($P230-$C230)*1440,0)))</f>
        <v/>
      </c>
      <c r="T230" s="34" t="str">
        <f>IF(OR($P230="",$Q230=""),"",MAX(0,ROUND(($Q230-$P230)*1440,0)))</f>
        <v/>
      </c>
      <c r="U230" s="34" t="str">
        <f>IF(OR($Q230="",$R230=""),"",MAX(0,ROUND(($R230-$Q230)*1440,0)))</f>
        <v/>
      </c>
      <c r="V230" s="35" t="str">
        <f>IF($A230="","",IF($O230="No-show","Sim","Não"))</f>
        <v/>
      </c>
      <c r="W230" s="32"/>
    </row>
    <row r="231" spans="1:23" x14ac:dyDescent="0.25">
      <c r="A231" s="24"/>
      <c r="B231" s="25"/>
      <c r="C231" s="26"/>
      <c r="D231" s="24"/>
      <c r="E231" s="24"/>
      <c r="F231" s="24"/>
      <c r="G231" s="24"/>
      <c r="H231" s="24"/>
      <c r="I231" s="24"/>
      <c r="J231" s="27"/>
      <c r="K231" s="24"/>
      <c r="L231" s="24"/>
      <c r="M231" s="24"/>
      <c r="N231" s="24"/>
      <c r="O231" s="24"/>
      <c r="P231" s="26"/>
      <c r="Q231" s="26"/>
      <c r="R231" s="26"/>
      <c r="S231" s="34" t="str">
        <f>IF(OR($C231="",$P231=""),"",MAX(0,ROUND(($P231-$C231)*1440,0)))</f>
        <v/>
      </c>
      <c r="T231" s="34" t="str">
        <f>IF(OR($P231="",$Q231=""),"",MAX(0,ROUND(($Q231-$P231)*1440,0)))</f>
        <v/>
      </c>
      <c r="U231" s="34" t="str">
        <f>IF(OR($Q231="",$R231=""),"",MAX(0,ROUND(($R231-$Q231)*1440,0)))</f>
        <v/>
      </c>
      <c r="V231" s="35" t="str">
        <f>IF($A231="","",IF($O231="No-show","Sim","Não"))</f>
        <v/>
      </c>
      <c r="W231" s="32"/>
    </row>
    <row r="232" spans="1:23" x14ac:dyDescent="0.25">
      <c r="A232" s="24"/>
      <c r="B232" s="25"/>
      <c r="C232" s="26"/>
      <c r="D232" s="24"/>
      <c r="E232" s="24"/>
      <c r="F232" s="24"/>
      <c r="G232" s="24"/>
      <c r="H232" s="24"/>
      <c r="I232" s="24"/>
      <c r="J232" s="27"/>
      <c r="K232" s="24"/>
      <c r="L232" s="24"/>
      <c r="M232" s="24"/>
      <c r="N232" s="24"/>
      <c r="O232" s="24"/>
      <c r="P232" s="26"/>
      <c r="Q232" s="26"/>
      <c r="R232" s="26"/>
      <c r="S232" s="34" t="str">
        <f>IF(OR($C232="",$P232=""),"",MAX(0,ROUND(($P232-$C232)*1440,0)))</f>
        <v/>
      </c>
      <c r="T232" s="34" t="str">
        <f>IF(OR($P232="",$Q232=""),"",MAX(0,ROUND(($Q232-$P232)*1440,0)))</f>
        <v/>
      </c>
      <c r="U232" s="34" t="str">
        <f>IF(OR($Q232="",$R232=""),"",MAX(0,ROUND(($R232-$Q232)*1440,0)))</f>
        <v/>
      </c>
      <c r="V232" s="35" t="str">
        <f>IF($A232="","",IF($O232="No-show","Sim","Não"))</f>
        <v/>
      </c>
      <c r="W232" s="32"/>
    </row>
    <row r="233" spans="1:23" x14ac:dyDescent="0.25">
      <c r="A233" s="24"/>
      <c r="B233" s="25"/>
      <c r="C233" s="26"/>
      <c r="D233" s="24"/>
      <c r="E233" s="24"/>
      <c r="F233" s="24"/>
      <c r="G233" s="24"/>
      <c r="H233" s="24"/>
      <c r="I233" s="24"/>
      <c r="J233" s="27"/>
      <c r="K233" s="24"/>
      <c r="L233" s="24"/>
      <c r="M233" s="24"/>
      <c r="N233" s="24"/>
      <c r="O233" s="24"/>
      <c r="P233" s="26"/>
      <c r="Q233" s="26"/>
      <c r="R233" s="26"/>
      <c r="S233" s="34" t="str">
        <f>IF(OR($C233="",$P233=""),"",MAX(0,ROUND(($P233-$C233)*1440,0)))</f>
        <v/>
      </c>
      <c r="T233" s="34" t="str">
        <f>IF(OR($P233="",$Q233=""),"",MAX(0,ROUND(($Q233-$P233)*1440,0)))</f>
        <v/>
      </c>
      <c r="U233" s="34" t="str">
        <f>IF(OR($Q233="",$R233=""),"",MAX(0,ROUND(($R233-$Q233)*1440,0)))</f>
        <v/>
      </c>
      <c r="V233" s="35" t="str">
        <f>IF($A233="","",IF($O233="No-show","Sim","Não"))</f>
        <v/>
      </c>
      <c r="W233" s="32"/>
    </row>
    <row r="234" spans="1:23" x14ac:dyDescent="0.25">
      <c r="A234" s="24"/>
      <c r="B234" s="25"/>
      <c r="C234" s="26"/>
      <c r="D234" s="24"/>
      <c r="E234" s="24"/>
      <c r="F234" s="24"/>
      <c r="G234" s="24"/>
      <c r="H234" s="24"/>
      <c r="I234" s="24"/>
      <c r="J234" s="27"/>
      <c r="K234" s="24"/>
      <c r="L234" s="24"/>
      <c r="M234" s="24"/>
      <c r="N234" s="24"/>
      <c r="O234" s="24"/>
      <c r="P234" s="26"/>
      <c r="Q234" s="26"/>
      <c r="R234" s="26"/>
      <c r="S234" s="34" t="str">
        <f>IF(OR($C234="",$P234=""),"",MAX(0,ROUND(($P234-$C234)*1440,0)))</f>
        <v/>
      </c>
      <c r="T234" s="34" t="str">
        <f>IF(OR($P234="",$Q234=""),"",MAX(0,ROUND(($Q234-$P234)*1440,0)))</f>
        <v/>
      </c>
      <c r="U234" s="34" t="str">
        <f>IF(OR($Q234="",$R234=""),"",MAX(0,ROUND(($R234-$Q234)*1440,0)))</f>
        <v/>
      </c>
      <c r="V234" s="35" t="str">
        <f>IF($A234="","",IF($O234="No-show","Sim","Não"))</f>
        <v/>
      </c>
      <c r="W234" s="32"/>
    </row>
    <row r="235" spans="1:23" x14ac:dyDescent="0.25">
      <c r="A235" s="24"/>
      <c r="B235" s="25"/>
      <c r="C235" s="26"/>
      <c r="D235" s="24"/>
      <c r="E235" s="24"/>
      <c r="F235" s="24"/>
      <c r="G235" s="24"/>
      <c r="H235" s="24"/>
      <c r="I235" s="24"/>
      <c r="J235" s="27"/>
      <c r="K235" s="24"/>
      <c r="L235" s="24"/>
      <c r="M235" s="24"/>
      <c r="N235" s="24"/>
      <c r="O235" s="24"/>
      <c r="P235" s="26"/>
      <c r="Q235" s="26"/>
      <c r="R235" s="26"/>
      <c r="S235" s="34" t="str">
        <f>IF(OR($C235="",$P235=""),"",MAX(0,ROUND(($P235-$C235)*1440,0)))</f>
        <v/>
      </c>
      <c r="T235" s="34" t="str">
        <f>IF(OR($P235="",$Q235=""),"",MAX(0,ROUND(($Q235-$P235)*1440,0)))</f>
        <v/>
      </c>
      <c r="U235" s="34" t="str">
        <f>IF(OR($Q235="",$R235=""),"",MAX(0,ROUND(($R235-$Q235)*1440,0)))</f>
        <v/>
      </c>
      <c r="V235" s="35" t="str">
        <f>IF($A235="","",IF($O235="No-show","Sim","Não"))</f>
        <v/>
      </c>
      <c r="W235" s="32"/>
    </row>
    <row r="236" spans="1:23" x14ac:dyDescent="0.25">
      <c r="A236" s="24"/>
      <c r="B236" s="25"/>
      <c r="C236" s="26"/>
      <c r="D236" s="24"/>
      <c r="E236" s="24"/>
      <c r="F236" s="24"/>
      <c r="G236" s="24"/>
      <c r="H236" s="24"/>
      <c r="I236" s="24"/>
      <c r="J236" s="27"/>
      <c r="K236" s="24"/>
      <c r="L236" s="24"/>
      <c r="M236" s="24"/>
      <c r="N236" s="24"/>
      <c r="O236" s="24"/>
      <c r="P236" s="26"/>
      <c r="Q236" s="26"/>
      <c r="R236" s="26"/>
      <c r="S236" s="34" t="str">
        <f>IF(OR($C236="",$P236=""),"",MAX(0,ROUND(($P236-$C236)*1440,0)))</f>
        <v/>
      </c>
      <c r="T236" s="34" t="str">
        <f>IF(OR($P236="",$Q236=""),"",MAX(0,ROUND(($Q236-$P236)*1440,0)))</f>
        <v/>
      </c>
      <c r="U236" s="34" t="str">
        <f>IF(OR($Q236="",$R236=""),"",MAX(0,ROUND(($R236-$Q236)*1440,0)))</f>
        <v/>
      </c>
      <c r="V236" s="35" t="str">
        <f>IF($A236="","",IF($O236="No-show","Sim","Não"))</f>
        <v/>
      </c>
      <c r="W236" s="32"/>
    </row>
    <row r="237" spans="1:23" x14ac:dyDescent="0.25">
      <c r="A237" s="24"/>
      <c r="B237" s="25"/>
      <c r="C237" s="26"/>
      <c r="D237" s="24"/>
      <c r="E237" s="24"/>
      <c r="F237" s="24"/>
      <c r="G237" s="24"/>
      <c r="H237" s="24"/>
      <c r="I237" s="24"/>
      <c r="J237" s="27"/>
      <c r="K237" s="24"/>
      <c r="L237" s="24"/>
      <c r="M237" s="24"/>
      <c r="N237" s="24"/>
      <c r="O237" s="24"/>
      <c r="P237" s="26"/>
      <c r="Q237" s="26"/>
      <c r="R237" s="26"/>
      <c r="S237" s="34" t="str">
        <f>IF(OR($C237="",$P237=""),"",MAX(0,ROUND(($P237-$C237)*1440,0)))</f>
        <v/>
      </c>
      <c r="T237" s="34" t="str">
        <f>IF(OR($P237="",$Q237=""),"",MAX(0,ROUND(($Q237-$P237)*1440,0)))</f>
        <v/>
      </c>
      <c r="U237" s="34" t="str">
        <f>IF(OR($Q237="",$R237=""),"",MAX(0,ROUND(($R237-$Q237)*1440,0)))</f>
        <v/>
      </c>
      <c r="V237" s="35" t="str">
        <f>IF($A237="","",IF($O237="No-show","Sim","Não"))</f>
        <v/>
      </c>
      <c r="W237" s="32"/>
    </row>
    <row r="238" spans="1:23" x14ac:dyDescent="0.25">
      <c r="A238" s="24"/>
      <c r="B238" s="25"/>
      <c r="C238" s="26"/>
      <c r="D238" s="24"/>
      <c r="E238" s="24"/>
      <c r="F238" s="24"/>
      <c r="G238" s="24"/>
      <c r="H238" s="24"/>
      <c r="I238" s="24"/>
      <c r="J238" s="27"/>
      <c r="K238" s="24"/>
      <c r="L238" s="24"/>
      <c r="M238" s="24"/>
      <c r="N238" s="24"/>
      <c r="O238" s="24"/>
      <c r="P238" s="26"/>
      <c r="Q238" s="26"/>
      <c r="R238" s="26"/>
      <c r="S238" s="34" t="str">
        <f>IF(OR($C238="",$P238=""),"",MAX(0,ROUND(($P238-$C238)*1440,0)))</f>
        <v/>
      </c>
      <c r="T238" s="34" t="str">
        <f>IF(OR($P238="",$Q238=""),"",MAX(0,ROUND(($Q238-$P238)*1440,0)))</f>
        <v/>
      </c>
      <c r="U238" s="34" t="str">
        <f>IF(OR($Q238="",$R238=""),"",MAX(0,ROUND(($R238-$Q238)*1440,0)))</f>
        <v/>
      </c>
      <c r="V238" s="35" t="str">
        <f>IF($A238="","",IF($O238="No-show","Sim","Não"))</f>
        <v/>
      </c>
      <c r="W238" s="32"/>
    </row>
    <row r="239" spans="1:23" x14ac:dyDescent="0.25">
      <c r="A239" s="24"/>
      <c r="B239" s="25"/>
      <c r="C239" s="26"/>
      <c r="D239" s="24"/>
      <c r="E239" s="24"/>
      <c r="F239" s="24"/>
      <c r="G239" s="24"/>
      <c r="H239" s="24"/>
      <c r="I239" s="24"/>
      <c r="J239" s="27"/>
      <c r="K239" s="24"/>
      <c r="L239" s="24"/>
      <c r="M239" s="24"/>
      <c r="N239" s="24"/>
      <c r="O239" s="24"/>
      <c r="P239" s="26"/>
      <c r="Q239" s="26"/>
      <c r="R239" s="26"/>
      <c r="S239" s="34" t="str">
        <f>IF(OR($C239="",$P239=""),"",MAX(0,ROUND(($P239-$C239)*1440,0)))</f>
        <v/>
      </c>
      <c r="T239" s="34" t="str">
        <f>IF(OR($P239="",$Q239=""),"",MAX(0,ROUND(($Q239-$P239)*1440,0)))</f>
        <v/>
      </c>
      <c r="U239" s="34" t="str">
        <f>IF(OR($Q239="",$R239=""),"",MAX(0,ROUND(($R239-$Q239)*1440,0)))</f>
        <v/>
      </c>
      <c r="V239" s="35" t="str">
        <f>IF($A239="","",IF($O239="No-show","Sim","Não"))</f>
        <v/>
      </c>
      <c r="W239" s="32"/>
    </row>
    <row r="240" spans="1:23" x14ac:dyDescent="0.25">
      <c r="A240" s="24"/>
      <c r="B240" s="25"/>
      <c r="C240" s="26"/>
      <c r="D240" s="24"/>
      <c r="E240" s="24"/>
      <c r="F240" s="24"/>
      <c r="G240" s="24"/>
      <c r="H240" s="24"/>
      <c r="I240" s="24"/>
      <c r="J240" s="27"/>
      <c r="K240" s="24"/>
      <c r="L240" s="24"/>
      <c r="M240" s="24"/>
      <c r="N240" s="24"/>
      <c r="O240" s="24"/>
      <c r="P240" s="26"/>
      <c r="Q240" s="26"/>
      <c r="R240" s="26"/>
      <c r="S240" s="34" t="str">
        <f>IF(OR($C240="",$P240=""),"",MAX(0,ROUND(($P240-$C240)*1440,0)))</f>
        <v/>
      </c>
      <c r="T240" s="34" t="str">
        <f>IF(OR($P240="",$Q240=""),"",MAX(0,ROUND(($Q240-$P240)*1440,0)))</f>
        <v/>
      </c>
      <c r="U240" s="34" t="str">
        <f>IF(OR($Q240="",$R240=""),"",MAX(0,ROUND(($R240-$Q240)*1440,0)))</f>
        <v/>
      </c>
      <c r="V240" s="35" t="str">
        <f>IF($A240="","",IF($O240="No-show","Sim","Não"))</f>
        <v/>
      </c>
      <c r="W240" s="32"/>
    </row>
    <row r="241" spans="1:23" x14ac:dyDescent="0.25">
      <c r="A241" s="24"/>
      <c r="B241" s="25"/>
      <c r="C241" s="26"/>
      <c r="D241" s="24"/>
      <c r="E241" s="24"/>
      <c r="F241" s="24"/>
      <c r="G241" s="24"/>
      <c r="H241" s="24"/>
      <c r="I241" s="24"/>
      <c r="J241" s="27"/>
      <c r="K241" s="24"/>
      <c r="L241" s="24"/>
      <c r="M241" s="24"/>
      <c r="N241" s="24"/>
      <c r="O241" s="24"/>
      <c r="P241" s="26"/>
      <c r="Q241" s="26"/>
      <c r="R241" s="26"/>
      <c r="S241" s="34" t="str">
        <f>IF(OR($C241="",$P241=""),"",MAX(0,ROUND(($P241-$C241)*1440,0)))</f>
        <v/>
      </c>
      <c r="T241" s="34" t="str">
        <f>IF(OR($P241="",$Q241=""),"",MAX(0,ROUND(($Q241-$P241)*1440,0)))</f>
        <v/>
      </c>
      <c r="U241" s="34" t="str">
        <f>IF(OR($Q241="",$R241=""),"",MAX(0,ROUND(($R241-$Q241)*1440,0)))</f>
        <v/>
      </c>
      <c r="V241" s="35" t="str">
        <f>IF($A241="","",IF($O241="No-show","Sim","Não"))</f>
        <v/>
      </c>
      <c r="W241" s="32"/>
    </row>
    <row r="242" spans="1:23" x14ac:dyDescent="0.25">
      <c r="A242" s="24"/>
      <c r="B242" s="25"/>
      <c r="C242" s="26"/>
      <c r="D242" s="24"/>
      <c r="E242" s="24"/>
      <c r="F242" s="24"/>
      <c r="G242" s="24"/>
      <c r="H242" s="24"/>
      <c r="I242" s="24"/>
      <c r="J242" s="27"/>
      <c r="K242" s="24"/>
      <c r="L242" s="24"/>
      <c r="M242" s="24"/>
      <c r="N242" s="24"/>
      <c r="O242" s="24"/>
      <c r="P242" s="26"/>
      <c r="Q242" s="26"/>
      <c r="R242" s="26"/>
      <c r="S242" s="34" t="str">
        <f>IF(OR($C242="",$P242=""),"",MAX(0,ROUND(($P242-$C242)*1440,0)))</f>
        <v/>
      </c>
      <c r="T242" s="34" t="str">
        <f>IF(OR($P242="",$Q242=""),"",MAX(0,ROUND(($Q242-$P242)*1440,0)))</f>
        <v/>
      </c>
      <c r="U242" s="34" t="str">
        <f>IF(OR($Q242="",$R242=""),"",MAX(0,ROUND(($R242-$Q242)*1440,0)))</f>
        <v/>
      </c>
      <c r="V242" s="35" t="str">
        <f>IF($A242="","",IF($O242="No-show","Sim","Não"))</f>
        <v/>
      </c>
      <c r="W242" s="32"/>
    </row>
    <row r="243" spans="1:23" x14ac:dyDescent="0.25">
      <c r="A243" s="24"/>
      <c r="B243" s="25"/>
      <c r="C243" s="26"/>
      <c r="D243" s="24"/>
      <c r="E243" s="24"/>
      <c r="F243" s="24"/>
      <c r="G243" s="24"/>
      <c r="H243" s="24"/>
      <c r="I243" s="24"/>
      <c r="J243" s="27"/>
      <c r="K243" s="24"/>
      <c r="L243" s="24"/>
      <c r="M243" s="24"/>
      <c r="N243" s="24"/>
      <c r="O243" s="24"/>
      <c r="P243" s="26"/>
      <c r="Q243" s="26"/>
      <c r="R243" s="26"/>
      <c r="S243" s="34" t="str">
        <f>IF(OR($C243="",$P243=""),"",MAX(0,ROUND(($P243-$C243)*1440,0)))</f>
        <v/>
      </c>
      <c r="T243" s="34" t="str">
        <f>IF(OR($P243="",$Q243=""),"",MAX(0,ROUND(($Q243-$P243)*1440,0)))</f>
        <v/>
      </c>
      <c r="U243" s="34" t="str">
        <f>IF(OR($Q243="",$R243=""),"",MAX(0,ROUND(($R243-$Q243)*1440,0)))</f>
        <v/>
      </c>
      <c r="V243" s="35" t="str">
        <f>IF($A243="","",IF($O243="No-show","Sim","Não"))</f>
        <v/>
      </c>
      <c r="W243" s="32"/>
    </row>
    <row r="244" spans="1:23" x14ac:dyDescent="0.25">
      <c r="A244" s="24"/>
      <c r="B244" s="25"/>
      <c r="C244" s="26"/>
      <c r="D244" s="24"/>
      <c r="E244" s="24"/>
      <c r="F244" s="24"/>
      <c r="G244" s="24"/>
      <c r="H244" s="24"/>
      <c r="I244" s="24"/>
      <c r="J244" s="27"/>
      <c r="K244" s="24"/>
      <c r="L244" s="24"/>
      <c r="M244" s="24"/>
      <c r="N244" s="24"/>
      <c r="O244" s="24"/>
      <c r="P244" s="26"/>
      <c r="Q244" s="26"/>
      <c r="R244" s="26"/>
      <c r="S244" s="34" t="str">
        <f>IF(OR($C244="",$P244=""),"",MAX(0,ROUND(($P244-$C244)*1440,0)))</f>
        <v/>
      </c>
      <c r="T244" s="34" t="str">
        <f>IF(OR($P244="",$Q244=""),"",MAX(0,ROUND(($Q244-$P244)*1440,0)))</f>
        <v/>
      </c>
      <c r="U244" s="34" t="str">
        <f>IF(OR($Q244="",$R244=""),"",MAX(0,ROUND(($R244-$Q244)*1440,0)))</f>
        <v/>
      </c>
      <c r="V244" s="35" t="str">
        <f>IF($A244="","",IF($O244="No-show","Sim","Não"))</f>
        <v/>
      </c>
      <c r="W244" s="32"/>
    </row>
    <row r="245" spans="1:23" x14ac:dyDescent="0.25">
      <c r="A245" s="24"/>
      <c r="B245" s="25"/>
      <c r="C245" s="26"/>
      <c r="D245" s="24"/>
      <c r="E245" s="24"/>
      <c r="F245" s="24"/>
      <c r="G245" s="24"/>
      <c r="H245" s="24"/>
      <c r="I245" s="24"/>
      <c r="J245" s="27"/>
      <c r="K245" s="24"/>
      <c r="L245" s="24"/>
      <c r="M245" s="24"/>
      <c r="N245" s="24"/>
      <c r="O245" s="24"/>
      <c r="P245" s="26"/>
      <c r="Q245" s="26"/>
      <c r="R245" s="26"/>
      <c r="S245" s="34" t="str">
        <f>IF(OR($C245="",$P245=""),"",MAX(0,ROUND(($P245-$C245)*1440,0)))</f>
        <v/>
      </c>
      <c r="T245" s="34" t="str">
        <f>IF(OR($P245="",$Q245=""),"",MAX(0,ROUND(($Q245-$P245)*1440,0)))</f>
        <v/>
      </c>
      <c r="U245" s="34" t="str">
        <f>IF(OR($Q245="",$R245=""),"",MAX(0,ROUND(($R245-$Q245)*1440,0)))</f>
        <v/>
      </c>
      <c r="V245" s="35" t="str">
        <f>IF($A245="","",IF($O245="No-show","Sim","Não"))</f>
        <v/>
      </c>
      <c r="W245" s="32"/>
    </row>
    <row r="246" spans="1:23" x14ac:dyDescent="0.25">
      <c r="A246" s="24"/>
      <c r="B246" s="25"/>
      <c r="C246" s="26"/>
      <c r="D246" s="24"/>
      <c r="E246" s="24"/>
      <c r="F246" s="24"/>
      <c r="G246" s="24"/>
      <c r="H246" s="24"/>
      <c r="I246" s="24"/>
      <c r="J246" s="27"/>
      <c r="K246" s="24"/>
      <c r="L246" s="24"/>
      <c r="M246" s="24"/>
      <c r="N246" s="24"/>
      <c r="O246" s="24"/>
      <c r="P246" s="26"/>
      <c r="Q246" s="26"/>
      <c r="R246" s="26"/>
      <c r="S246" s="34" t="str">
        <f>IF(OR($C246="",$P246=""),"",MAX(0,ROUND(($P246-$C246)*1440,0)))</f>
        <v/>
      </c>
      <c r="T246" s="34" t="str">
        <f>IF(OR($P246="",$Q246=""),"",MAX(0,ROUND(($Q246-$P246)*1440,0)))</f>
        <v/>
      </c>
      <c r="U246" s="34" t="str">
        <f>IF(OR($Q246="",$R246=""),"",MAX(0,ROUND(($R246-$Q246)*1440,0)))</f>
        <v/>
      </c>
      <c r="V246" s="35" t="str">
        <f>IF($A246="","",IF($O246="No-show","Sim","Não"))</f>
        <v/>
      </c>
      <c r="W246" s="32"/>
    </row>
    <row r="247" spans="1:23" x14ac:dyDescent="0.25">
      <c r="A247" s="24"/>
      <c r="B247" s="25"/>
      <c r="C247" s="26"/>
      <c r="D247" s="24"/>
      <c r="E247" s="24"/>
      <c r="F247" s="24"/>
      <c r="G247" s="24"/>
      <c r="H247" s="24"/>
      <c r="I247" s="24"/>
      <c r="J247" s="27"/>
      <c r="K247" s="24"/>
      <c r="L247" s="24"/>
      <c r="M247" s="24"/>
      <c r="N247" s="24"/>
      <c r="O247" s="24"/>
      <c r="P247" s="26"/>
      <c r="Q247" s="26"/>
      <c r="R247" s="26"/>
      <c r="S247" s="34" t="str">
        <f>IF(OR($C247="",$P247=""),"",MAX(0,ROUND(($P247-$C247)*1440,0)))</f>
        <v/>
      </c>
      <c r="T247" s="34" t="str">
        <f>IF(OR($P247="",$Q247=""),"",MAX(0,ROUND(($Q247-$P247)*1440,0)))</f>
        <v/>
      </c>
      <c r="U247" s="34" t="str">
        <f>IF(OR($Q247="",$R247=""),"",MAX(0,ROUND(($R247-$Q247)*1440,0)))</f>
        <v/>
      </c>
      <c r="V247" s="35" t="str">
        <f>IF($A247="","",IF($O247="No-show","Sim","Não"))</f>
        <v/>
      </c>
      <c r="W247" s="32"/>
    </row>
    <row r="248" spans="1:23" x14ac:dyDescent="0.25">
      <c r="A248" s="24"/>
      <c r="B248" s="25"/>
      <c r="C248" s="26"/>
      <c r="D248" s="24"/>
      <c r="E248" s="24"/>
      <c r="F248" s="24"/>
      <c r="G248" s="24"/>
      <c r="H248" s="24"/>
      <c r="I248" s="24"/>
      <c r="J248" s="27"/>
      <c r="K248" s="24"/>
      <c r="L248" s="24"/>
      <c r="M248" s="24"/>
      <c r="N248" s="24"/>
      <c r="O248" s="24"/>
      <c r="P248" s="26"/>
      <c r="Q248" s="26"/>
      <c r="R248" s="26"/>
      <c r="S248" s="34" t="str">
        <f>IF(OR($C248="",$P248=""),"",MAX(0,ROUND(($P248-$C248)*1440,0)))</f>
        <v/>
      </c>
      <c r="T248" s="34" t="str">
        <f>IF(OR($P248="",$Q248=""),"",MAX(0,ROUND(($Q248-$P248)*1440,0)))</f>
        <v/>
      </c>
      <c r="U248" s="34" t="str">
        <f>IF(OR($Q248="",$R248=""),"",MAX(0,ROUND(($R248-$Q248)*1440,0)))</f>
        <v/>
      </c>
      <c r="V248" s="35" t="str">
        <f>IF($A248="","",IF($O248="No-show","Sim","Não"))</f>
        <v/>
      </c>
      <c r="W248" s="32"/>
    </row>
    <row r="249" spans="1:23" x14ac:dyDescent="0.25">
      <c r="A249" s="24"/>
      <c r="B249" s="25"/>
      <c r="C249" s="26"/>
      <c r="D249" s="24"/>
      <c r="E249" s="24"/>
      <c r="F249" s="24"/>
      <c r="G249" s="24"/>
      <c r="H249" s="24"/>
      <c r="I249" s="24"/>
      <c r="J249" s="27"/>
      <c r="K249" s="24"/>
      <c r="L249" s="24"/>
      <c r="M249" s="24"/>
      <c r="N249" s="24"/>
      <c r="O249" s="24"/>
      <c r="P249" s="26"/>
      <c r="Q249" s="26"/>
      <c r="R249" s="26"/>
      <c r="S249" s="34" t="str">
        <f>IF(OR($C249="",$P249=""),"",MAX(0,ROUND(($P249-$C249)*1440,0)))</f>
        <v/>
      </c>
      <c r="T249" s="34" t="str">
        <f>IF(OR($P249="",$Q249=""),"",MAX(0,ROUND(($Q249-$P249)*1440,0)))</f>
        <v/>
      </c>
      <c r="U249" s="34" t="str">
        <f>IF(OR($Q249="",$R249=""),"",MAX(0,ROUND(($R249-$Q249)*1440,0)))</f>
        <v/>
      </c>
      <c r="V249" s="35" t="str">
        <f>IF($A249="","",IF($O249="No-show","Sim","Não"))</f>
        <v/>
      </c>
      <c r="W249" s="32"/>
    </row>
    <row r="250" spans="1:23" x14ac:dyDescent="0.25">
      <c r="A250" s="24"/>
      <c r="B250" s="25"/>
      <c r="C250" s="26"/>
      <c r="D250" s="24"/>
      <c r="E250" s="24"/>
      <c r="F250" s="24"/>
      <c r="G250" s="24"/>
      <c r="H250" s="24"/>
      <c r="I250" s="24"/>
      <c r="J250" s="27"/>
      <c r="K250" s="24"/>
      <c r="L250" s="24"/>
      <c r="M250" s="24"/>
      <c r="N250" s="24"/>
      <c r="O250" s="24"/>
      <c r="P250" s="26"/>
      <c r="Q250" s="26"/>
      <c r="R250" s="26"/>
      <c r="S250" s="34" t="str">
        <f>IF(OR($C250="",$P250=""),"",MAX(0,ROUND(($P250-$C250)*1440,0)))</f>
        <v/>
      </c>
      <c r="T250" s="34" t="str">
        <f>IF(OR($P250="",$Q250=""),"",MAX(0,ROUND(($Q250-$P250)*1440,0)))</f>
        <v/>
      </c>
      <c r="U250" s="34" t="str">
        <f>IF(OR($Q250="",$R250=""),"",MAX(0,ROUND(($R250-$Q250)*1440,0)))</f>
        <v/>
      </c>
      <c r="V250" s="35" t="str">
        <f>IF($A250="","",IF($O250="No-show","Sim","Não"))</f>
        <v/>
      </c>
      <c r="W250" s="32"/>
    </row>
    <row r="251" spans="1:23" x14ac:dyDescent="0.25">
      <c r="A251" s="24"/>
      <c r="B251" s="25"/>
      <c r="C251" s="26"/>
      <c r="D251" s="24"/>
      <c r="E251" s="24"/>
      <c r="F251" s="24"/>
      <c r="G251" s="24"/>
      <c r="H251" s="24"/>
      <c r="I251" s="24"/>
      <c r="J251" s="27"/>
      <c r="K251" s="24"/>
      <c r="L251" s="24"/>
      <c r="M251" s="24"/>
      <c r="N251" s="24"/>
      <c r="O251" s="24"/>
      <c r="P251" s="26"/>
      <c r="Q251" s="26"/>
      <c r="R251" s="26"/>
      <c r="S251" s="34" t="str">
        <f>IF(OR($C251="",$P251=""),"",MAX(0,ROUND(($P251-$C251)*1440,0)))</f>
        <v/>
      </c>
      <c r="T251" s="34" t="str">
        <f>IF(OR($P251="",$Q251=""),"",MAX(0,ROUND(($Q251-$P251)*1440,0)))</f>
        <v/>
      </c>
      <c r="U251" s="34" t="str">
        <f>IF(OR($Q251="",$R251=""),"",MAX(0,ROUND(($R251-$Q251)*1440,0)))</f>
        <v/>
      </c>
      <c r="V251" s="35" t="str">
        <f>IF($A251="","",IF($O251="No-show","Sim","Não"))</f>
        <v/>
      </c>
      <c r="W251" s="32"/>
    </row>
    <row r="252" spans="1:23" x14ac:dyDescent="0.25">
      <c r="A252" s="24"/>
      <c r="B252" s="25"/>
      <c r="C252" s="26"/>
      <c r="D252" s="24"/>
      <c r="E252" s="24"/>
      <c r="F252" s="24"/>
      <c r="G252" s="24"/>
      <c r="H252" s="24"/>
      <c r="I252" s="24"/>
      <c r="J252" s="27"/>
      <c r="K252" s="24"/>
      <c r="L252" s="24"/>
      <c r="M252" s="24"/>
      <c r="N252" s="24"/>
      <c r="O252" s="24"/>
      <c r="P252" s="26"/>
      <c r="Q252" s="26"/>
      <c r="R252" s="26"/>
      <c r="S252" s="34" t="str">
        <f>IF(OR($C252="",$P252=""),"",MAX(0,ROUND(($P252-$C252)*1440,0)))</f>
        <v/>
      </c>
      <c r="T252" s="34" t="str">
        <f>IF(OR($P252="",$Q252=""),"",MAX(0,ROUND(($Q252-$P252)*1440,0)))</f>
        <v/>
      </c>
      <c r="U252" s="34" t="str">
        <f>IF(OR($Q252="",$R252=""),"",MAX(0,ROUND(($R252-$Q252)*1440,0)))</f>
        <v/>
      </c>
      <c r="V252" s="35" t="str">
        <f>IF($A252="","",IF($O252="No-show","Sim","Não"))</f>
        <v/>
      </c>
      <c r="W252" s="32"/>
    </row>
    <row r="253" spans="1:23" x14ac:dyDescent="0.25">
      <c r="A253" s="24"/>
      <c r="B253" s="25"/>
      <c r="C253" s="26"/>
      <c r="D253" s="24"/>
      <c r="E253" s="24"/>
      <c r="F253" s="24"/>
      <c r="G253" s="24"/>
      <c r="H253" s="24"/>
      <c r="I253" s="24"/>
      <c r="J253" s="27"/>
      <c r="K253" s="24"/>
      <c r="L253" s="24"/>
      <c r="M253" s="24"/>
      <c r="N253" s="24"/>
      <c r="O253" s="24"/>
      <c r="P253" s="26"/>
      <c r="Q253" s="26"/>
      <c r="R253" s="26"/>
      <c r="S253" s="34" t="str">
        <f>IF(OR($C253="",$P253=""),"",MAX(0,ROUND(($P253-$C253)*1440,0)))</f>
        <v/>
      </c>
      <c r="T253" s="34" t="str">
        <f>IF(OR($P253="",$Q253=""),"",MAX(0,ROUND(($Q253-$P253)*1440,0)))</f>
        <v/>
      </c>
      <c r="U253" s="34" t="str">
        <f>IF(OR($Q253="",$R253=""),"",MAX(0,ROUND(($R253-$Q253)*1440,0)))</f>
        <v/>
      </c>
      <c r="V253" s="35" t="str">
        <f>IF($A253="","",IF($O253="No-show","Sim","Não"))</f>
        <v/>
      </c>
      <c r="W253" s="32"/>
    </row>
    <row r="254" spans="1:23" x14ac:dyDescent="0.25">
      <c r="A254" s="24"/>
      <c r="B254" s="25"/>
      <c r="C254" s="26"/>
      <c r="D254" s="24"/>
      <c r="E254" s="24"/>
      <c r="F254" s="24"/>
      <c r="G254" s="24"/>
      <c r="H254" s="24"/>
      <c r="I254" s="24"/>
      <c r="J254" s="27"/>
      <c r="K254" s="24"/>
      <c r="L254" s="24"/>
      <c r="M254" s="24"/>
      <c r="N254" s="24"/>
      <c r="O254" s="24"/>
      <c r="P254" s="26"/>
      <c r="Q254" s="26"/>
      <c r="R254" s="26"/>
      <c r="S254" s="34" t="str">
        <f>IF(OR($C254="",$P254=""),"",MAX(0,ROUND(($P254-$C254)*1440,0)))</f>
        <v/>
      </c>
      <c r="T254" s="34" t="str">
        <f>IF(OR($P254="",$Q254=""),"",MAX(0,ROUND(($Q254-$P254)*1440,0)))</f>
        <v/>
      </c>
      <c r="U254" s="34" t="str">
        <f>IF(OR($Q254="",$R254=""),"",MAX(0,ROUND(($R254-$Q254)*1440,0)))</f>
        <v/>
      </c>
      <c r="V254" s="35" t="str">
        <f>IF($A254="","",IF($O254="No-show","Sim","Não"))</f>
        <v/>
      </c>
      <c r="W254" s="32"/>
    </row>
    <row r="255" spans="1:23" x14ac:dyDescent="0.25">
      <c r="A255" s="24"/>
      <c r="B255" s="25"/>
      <c r="C255" s="26"/>
      <c r="D255" s="24"/>
      <c r="E255" s="24"/>
      <c r="F255" s="24"/>
      <c r="G255" s="24"/>
      <c r="H255" s="24"/>
      <c r="I255" s="24"/>
      <c r="J255" s="27"/>
      <c r="K255" s="24"/>
      <c r="L255" s="24"/>
      <c r="M255" s="24"/>
      <c r="N255" s="24"/>
      <c r="O255" s="24"/>
      <c r="P255" s="26"/>
      <c r="Q255" s="26"/>
      <c r="R255" s="26"/>
      <c r="S255" s="34" t="str">
        <f>IF(OR($C255="",$P255=""),"",MAX(0,ROUND(($P255-$C255)*1440,0)))</f>
        <v/>
      </c>
      <c r="T255" s="34" t="str">
        <f>IF(OR($P255="",$Q255=""),"",MAX(0,ROUND(($Q255-$P255)*1440,0)))</f>
        <v/>
      </c>
      <c r="U255" s="34" t="str">
        <f>IF(OR($Q255="",$R255=""),"",MAX(0,ROUND(($R255-$Q255)*1440,0)))</f>
        <v/>
      </c>
      <c r="V255" s="35" t="str">
        <f>IF($A255="","",IF($O255="No-show","Sim","Não"))</f>
        <v/>
      </c>
      <c r="W255" s="32"/>
    </row>
    <row r="256" spans="1:23" x14ac:dyDescent="0.25">
      <c r="A256" s="24"/>
      <c r="B256" s="25"/>
      <c r="C256" s="26"/>
      <c r="D256" s="24"/>
      <c r="E256" s="24"/>
      <c r="F256" s="24"/>
      <c r="G256" s="24"/>
      <c r="H256" s="24"/>
      <c r="I256" s="24"/>
      <c r="J256" s="27"/>
      <c r="K256" s="24"/>
      <c r="L256" s="24"/>
      <c r="M256" s="24"/>
      <c r="N256" s="24"/>
      <c r="O256" s="24"/>
      <c r="P256" s="26"/>
      <c r="Q256" s="26"/>
      <c r="R256" s="26"/>
      <c r="S256" s="34" t="str">
        <f>IF(OR($C256="",$P256=""),"",MAX(0,ROUND(($P256-$C256)*1440,0)))</f>
        <v/>
      </c>
      <c r="T256" s="34" t="str">
        <f>IF(OR($P256="",$Q256=""),"",MAX(0,ROUND(($Q256-$P256)*1440,0)))</f>
        <v/>
      </c>
      <c r="U256" s="34" t="str">
        <f>IF(OR($Q256="",$R256=""),"",MAX(0,ROUND(($R256-$Q256)*1440,0)))</f>
        <v/>
      </c>
      <c r="V256" s="35" t="str">
        <f>IF($A256="","",IF($O256="No-show","Sim","Não"))</f>
        <v/>
      </c>
      <c r="W256" s="32"/>
    </row>
    <row r="257" spans="1:23" x14ac:dyDescent="0.25">
      <c r="A257" s="24"/>
      <c r="B257" s="25"/>
      <c r="C257" s="26"/>
      <c r="D257" s="24"/>
      <c r="E257" s="24"/>
      <c r="F257" s="24"/>
      <c r="G257" s="24"/>
      <c r="H257" s="24"/>
      <c r="I257" s="24"/>
      <c r="J257" s="27"/>
      <c r="K257" s="24"/>
      <c r="L257" s="24"/>
      <c r="M257" s="24"/>
      <c r="N257" s="24"/>
      <c r="O257" s="24"/>
      <c r="P257" s="26"/>
      <c r="Q257" s="26"/>
      <c r="R257" s="26"/>
      <c r="S257" s="34" t="str">
        <f>IF(OR($C257="",$P257=""),"",MAX(0,ROUND(($P257-$C257)*1440,0)))</f>
        <v/>
      </c>
      <c r="T257" s="34" t="str">
        <f>IF(OR($P257="",$Q257=""),"",MAX(0,ROUND(($Q257-$P257)*1440,0)))</f>
        <v/>
      </c>
      <c r="U257" s="34" t="str">
        <f>IF(OR($Q257="",$R257=""),"",MAX(0,ROUND(($R257-$Q257)*1440,0)))</f>
        <v/>
      </c>
      <c r="V257" s="35" t="str">
        <f>IF($A257="","",IF($O257="No-show","Sim","Não"))</f>
        <v/>
      </c>
      <c r="W257" s="32"/>
    </row>
    <row r="258" spans="1:23" x14ac:dyDescent="0.25">
      <c r="A258" s="24"/>
      <c r="B258" s="25"/>
      <c r="C258" s="26"/>
      <c r="D258" s="24"/>
      <c r="E258" s="24"/>
      <c r="F258" s="24"/>
      <c r="G258" s="24"/>
      <c r="H258" s="24"/>
      <c r="I258" s="24"/>
      <c r="J258" s="27"/>
      <c r="K258" s="24"/>
      <c r="L258" s="24"/>
      <c r="M258" s="24"/>
      <c r="N258" s="24"/>
      <c r="O258" s="24"/>
      <c r="P258" s="26"/>
      <c r="Q258" s="26"/>
      <c r="R258" s="26"/>
      <c r="S258" s="34" t="str">
        <f>IF(OR($C258="",$P258=""),"",MAX(0,ROUND(($P258-$C258)*1440,0)))</f>
        <v/>
      </c>
      <c r="T258" s="34" t="str">
        <f>IF(OR($P258="",$Q258=""),"",MAX(0,ROUND(($Q258-$P258)*1440,0)))</f>
        <v/>
      </c>
      <c r="U258" s="34" t="str">
        <f>IF(OR($Q258="",$R258=""),"",MAX(0,ROUND(($R258-$Q258)*1440,0)))</f>
        <v/>
      </c>
      <c r="V258" s="35" t="str">
        <f>IF($A258="","",IF($O258="No-show","Sim","Não"))</f>
        <v/>
      </c>
      <c r="W258" s="32"/>
    </row>
    <row r="259" spans="1:23" x14ac:dyDescent="0.25">
      <c r="A259" s="24"/>
      <c r="B259" s="25"/>
      <c r="C259" s="26"/>
      <c r="D259" s="24"/>
      <c r="E259" s="24"/>
      <c r="F259" s="24"/>
      <c r="G259" s="24"/>
      <c r="H259" s="24"/>
      <c r="I259" s="24"/>
      <c r="J259" s="27"/>
      <c r="K259" s="24"/>
      <c r="L259" s="24"/>
      <c r="M259" s="24"/>
      <c r="N259" s="24"/>
      <c r="O259" s="24"/>
      <c r="P259" s="26"/>
      <c r="Q259" s="26"/>
      <c r="R259" s="26"/>
      <c r="S259" s="34" t="str">
        <f>IF(OR($C259="",$P259=""),"",MAX(0,ROUND(($P259-$C259)*1440,0)))</f>
        <v/>
      </c>
      <c r="T259" s="34" t="str">
        <f>IF(OR($P259="",$Q259=""),"",MAX(0,ROUND(($Q259-$P259)*1440,0)))</f>
        <v/>
      </c>
      <c r="U259" s="34" t="str">
        <f>IF(OR($Q259="",$R259=""),"",MAX(0,ROUND(($R259-$Q259)*1440,0)))</f>
        <v/>
      </c>
      <c r="V259" s="35" t="str">
        <f>IF($A259="","",IF($O259="No-show","Sim","Não"))</f>
        <v/>
      </c>
      <c r="W259" s="32"/>
    </row>
    <row r="260" spans="1:23" x14ac:dyDescent="0.25">
      <c r="A260" s="24"/>
      <c r="B260" s="25"/>
      <c r="C260" s="26"/>
      <c r="D260" s="24"/>
      <c r="E260" s="24"/>
      <c r="F260" s="24"/>
      <c r="G260" s="24"/>
      <c r="H260" s="24"/>
      <c r="I260" s="24"/>
      <c r="J260" s="27"/>
      <c r="K260" s="24"/>
      <c r="L260" s="24"/>
      <c r="M260" s="24"/>
      <c r="N260" s="24"/>
      <c r="O260" s="24"/>
      <c r="P260" s="26"/>
      <c r="Q260" s="26"/>
      <c r="R260" s="26"/>
      <c r="S260" s="34" t="str">
        <f>IF(OR($C260="",$P260=""),"",MAX(0,ROUND(($P260-$C260)*1440,0)))</f>
        <v/>
      </c>
      <c r="T260" s="34" t="str">
        <f>IF(OR($P260="",$Q260=""),"",MAX(0,ROUND(($Q260-$P260)*1440,0)))</f>
        <v/>
      </c>
      <c r="U260" s="34" t="str">
        <f>IF(OR($Q260="",$R260=""),"",MAX(0,ROUND(($R260-$Q260)*1440,0)))</f>
        <v/>
      </c>
      <c r="V260" s="35" t="str">
        <f>IF($A260="","",IF($O260="No-show","Sim","Não"))</f>
        <v/>
      </c>
      <c r="W260" s="32"/>
    </row>
    <row r="261" spans="1:23" x14ac:dyDescent="0.25">
      <c r="A261" s="24"/>
      <c r="B261" s="25"/>
      <c r="C261" s="26"/>
      <c r="D261" s="24"/>
      <c r="E261" s="24"/>
      <c r="F261" s="24"/>
      <c r="G261" s="24"/>
      <c r="H261" s="24"/>
      <c r="I261" s="24"/>
      <c r="J261" s="27"/>
      <c r="K261" s="24"/>
      <c r="L261" s="24"/>
      <c r="M261" s="24"/>
      <c r="N261" s="24"/>
      <c r="O261" s="24"/>
      <c r="P261" s="26"/>
      <c r="Q261" s="26"/>
      <c r="R261" s="26"/>
      <c r="S261" s="34" t="str">
        <f>IF(OR($C261="",$P261=""),"",MAX(0,ROUND(($P261-$C261)*1440,0)))</f>
        <v/>
      </c>
      <c r="T261" s="34" t="str">
        <f>IF(OR($P261="",$Q261=""),"",MAX(0,ROUND(($Q261-$P261)*1440,0)))</f>
        <v/>
      </c>
      <c r="U261" s="34" t="str">
        <f>IF(OR($Q261="",$R261=""),"",MAX(0,ROUND(($R261-$Q261)*1440,0)))</f>
        <v/>
      </c>
      <c r="V261" s="35" t="str">
        <f>IF($A261="","",IF($O261="No-show","Sim","Não"))</f>
        <v/>
      </c>
      <c r="W261" s="32"/>
    </row>
    <row r="262" spans="1:23" x14ac:dyDescent="0.25">
      <c r="A262" s="24"/>
      <c r="B262" s="25"/>
      <c r="C262" s="26"/>
      <c r="D262" s="24"/>
      <c r="E262" s="24"/>
      <c r="F262" s="24"/>
      <c r="G262" s="24"/>
      <c r="H262" s="24"/>
      <c r="I262" s="24"/>
      <c r="J262" s="27"/>
      <c r="K262" s="24"/>
      <c r="L262" s="24"/>
      <c r="M262" s="24"/>
      <c r="N262" s="24"/>
      <c r="O262" s="24"/>
      <c r="P262" s="26"/>
      <c r="Q262" s="26"/>
      <c r="R262" s="26"/>
      <c r="S262" s="34" t="str">
        <f>IF(OR($C262="",$P262=""),"",MAX(0,ROUND(($P262-$C262)*1440,0)))</f>
        <v/>
      </c>
      <c r="T262" s="34" t="str">
        <f>IF(OR($P262="",$Q262=""),"",MAX(0,ROUND(($Q262-$P262)*1440,0)))</f>
        <v/>
      </c>
      <c r="U262" s="34" t="str">
        <f>IF(OR($Q262="",$R262=""),"",MAX(0,ROUND(($R262-$Q262)*1440,0)))</f>
        <v/>
      </c>
      <c r="V262" s="35" t="str">
        <f>IF($A262="","",IF($O262="No-show","Sim","Não"))</f>
        <v/>
      </c>
      <c r="W262" s="32"/>
    </row>
    <row r="263" spans="1:23" x14ac:dyDescent="0.25">
      <c r="A263" s="24"/>
      <c r="B263" s="25"/>
      <c r="C263" s="26"/>
      <c r="D263" s="24"/>
      <c r="E263" s="24"/>
      <c r="F263" s="24"/>
      <c r="G263" s="24"/>
      <c r="H263" s="24"/>
      <c r="I263" s="24"/>
      <c r="J263" s="27"/>
      <c r="K263" s="24"/>
      <c r="L263" s="24"/>
      <c r="M263" s="24"/>
      <c r="N263" s="24"/>
      <c r="O263" s="24"/>
      <c r="P263" s="26"/>
      <c r="Q263" s="26"/>
      <c r="R263" s="26"/>
      <c r="S263" s="34" t="str">
        <f>IF(OR($C263="",$P263=""),"",MAX(0,ROUND(($P263-$C263)*1440,0)))</f>
        <v/>
      </c>
      <c r="T263" s="34" t="str">
        <f>IF(OR($P263="",$Q263=""),"",MAX(0,ROUND(($Q263-$P263)*1440,0)))</f>
        <v/>
      </c>
      <c r="U263" s="34" t="str">
        <f>IF(OR($Q263="",$R263=""),"",MAX(0,ROUND(($R263-$Q263)*1440,0)))</f>
        <v/>
      </c>
      <c r="V263" s="35" t="str">
        <f>IF($A263="","",IF($O263="No-show","Sim","Não"))</f>
        <v/>
      </c>
      <c r="W263" s="32"/>
    </row>
    <row r="264" spans="1:23" x14ac:dyDescent="0.25">
      <c r="A264" s="24"/>
      <c r="B264" s="25"/>
      <c r="C264" s="26"/>
      <c r="D264" s="24"/>
      <c r="E264" s="24"/>
      <c r="F264" s="24"/>
      <c r="G264" s="24"/>
      <c r="H264" s="24"/>
      <c r="I264" s="24"/>
      <c r="J264" s="27"/>
      <c r="K264" s="24"/>
      <c r="L264" s="24"/>
      <c r="M264" s="24"/>
      <c r="N264" s="24"/>
      <c r="O264" s="24"/>
      <c r="P264" s="26"/>
      <c r="Q264" s="26"/>
      <c r="R264" s="26"/>
      <c r="S264" s="34" t="str">
        <f>IF(OR($C264="",$P264=""),"",MAX(0,ROUND(($P264-$C264)*1440,0)))</f>
        <v/>
      </c>
      <c r="T264" s="34" t="str">
        <f>IF(OR($P264="",$Q264=""),"",MAX(0,ROUND(($Q264-$P264)*1440,0)))</f>
        <v/>
      </c>
      <c r="U264" s="34" t="str">
        <f>IF(OR($Q264="",$R264=""),"",MAX(0,ROUND(($R264-$Q264)*1440,0)))</f>
        <v/>
      </c>
      <c r="V264" s="35" t="str">
        <f>IF($A264="","",IF($O264="No-show","Sim","Não"))</f>
        <v/>
      </c>
      <c r="W264" s="32"/>
    </row>
    <row r="265" spans="1:23" x14ac:dyDescent="0.25">
      <c r="A265" s="24"/>
      <c r="B265" s="25"/>
      <c r="C265" s="26"/>
      <c r="D265" s="24"/>
      <c r="E265" s="24"/>
      <c r="F265" s="24"/>
      <c r="G265" s="24"/>
      <c r="H265" s="24"/>
      <c r="I265" s="24"/>
      <c r="J265" s="27"/>
      <c r="K265" s="24"/>
      <c r="L265" s="24"/>
      <c r="M265" s="24"/>
      <c r="N265" s="24"/>
      <c r="O265" s="24"/>
      <c r="P265" s="26"/>
      <c r="Q265" s="26"/>
      <c r="R265" s="26"/>
      <c r="S265" s="34" t="str">
        <f>IF(OR($C265="",$P265=""),"",MAX(0,ROUND(($P265-$C265)*1440,0)))</f>
        <v/>
      </c>
      <c r="T265" s="34" t="str">
        <f>IF(OR($P265="",$Q265=""),"",MAX(0,ROUND(($Q265-$P265)*1440,0)))</f>
        <v/>
      </c>
      <c r="U265" s="34" t="str">
        <f>IF(OR($Q265="",$R265=""),"",MAX(0,ROUND(($R265-$Q265)*1440,0)))</f>
        <v/>
      </c>
      <c r="V265" s="35" t="str">
        <f>IF($A265="","",IF($O265="No-show","Sim","Não"))</f>
        <v/>
      </c>
      <c r="W265" s="32"/>
    </row>
    <row r="266" spans="1:23" x14ac:dyDescent="0.25">
      <c r="A266" s="24"/>
      <c r="B266" s="25"/>
      <c r="C266" s="26"/>
      <c r="D266" s="24"/>
      <c r="E266" s="24"/>
      <c r="F266" s="24"/>
      <c r="G266" s="24"/>
      <c r="H266" s="24"/>
      <c r="I266" s="24"/>
      <c r="J266" s="27"/>
      <c r="K266" s="24"/>
      <c r="L266" s="24"/>
      <c r="M266" s="24"/>
      <c r="N266" s="24"/>
      <c r="O266" s="24"/>
      <c r="P266" s="26"/>
      <c r="Q266" s="26"/>
      <c r="R266" s="26"/>
      <c r="S266" s="34" t="str">
        <f>IF(OR($C266="",$P266=""),"",MAX(0,ROUND(($P266-$C266)*1440,0)))</f>
        <v/>
      </c>
      <c r="T266" s="34" t="str">
        <f>IF(OR($P266="",$Q266=""),"",MAX(0,ROUND(($Q266-$P266)*1440,0)))</f>
        <v/>
      </c>
      <c r="U266" s="34" t="str">
        <f>IF(OR($Q266="",$R266=""),"",MAX(0,ROUND(($R266-$Q266)*1440,0)))</f>
        <v/>
      </c>
      <c r="V266" s="35" t="str">
        <f>IF($A266="","",IF($O266="No-show","Sim","Não"))</f>
        <v/>
      </c>
      <c r="W266" s="32"/>
    </row>
    <row r="267" spans="1:23" x14ac:dyDescent="0.25">
      <c r="A267" s="24"/>
      <c r="B267" s="25"/>
      <c r="C267" s="26"/>
      <c r="D267" s="24"/>
      <c r="E267" s="24"/>
      <c r="F267" s="24"/>
      <c r="G267" s="24"/>
      <c r="H267" s="24"/>
      <c r="I267" s="24"/>
      <c r="J267" s="27"/>
      <c r="K267" s="24"/>
      <c r="L267" s="24"/>
      <c r="M267" s="24"/>
      <c r="N267" s="24"/>
      <c r="O267" s="24"/>
      <c r="P267" s="26"/>
      <c r="Q267" s="26"/>
      <c r="R267" s="26"/>
      <c r="S267" s="34" t="str">
        <f>IF(OR($C267="",$P267=""),"",MAX(0,ROUND(($P267-$C267)*1440,0)))</f>
        <v/>
      </c>
      <c r="T267" s="34" t="str">
        <f>IF(OR($P267="",$Q267=""),"",MAX(0,ROUND(($Q267-$P267)*1440,0)))</f>
        <v/>
      </c>
      <c r="U267" s="34" t="str">
        <f>IF(OR($Q267="",$R267=""),"",MAX(0,ROUND(($R267-$Q267)*1440,0)))</f>
        <v/>
      </c>
      <c r="V267" s="35" t="str">
        <f>IF($A267="","",IF($O267="No-show","Sim","Não"))</f>
        <v/>
      </c>
      <c r="W267" s="32"/>
    </row>
    <row r="268" spans="1:23" x14ac:dyDescent="0.25">
      <c r="A268" s="24"/>
      <c r="B268" s="25"/>
      <c r="C268" s="26"/>
      <c r="D268" s="24"/>
      <c r="E268" s="24"/>
      <c r="F268" s="24"/>
      <c r="G268" s="24"/>
      <c r="H268" s="24"/>
      <c r="I268" s="24"/>
      <c r="J268" s="27"/>
      <c r="K268" s="24"/>
      <c r="L268" s="24"/>
      <c r="M268" s="24"/>
      <c r="N268" s="24"/>
      <c r="O268" s="24"/>
      <c r="P268" s="26"/>
      <c r="Q268" s="26"/>
      <c r="R268" s="26"/>
      <c r="S268" s="34" t="str">
        <f>IF(OR($C268="",$P268=""),"",MAX(0,ROUND(($P268-$C268)*1440,0)))</f>
        <v/>
      </c>
      <c r="T268" s="34" t="str">
        <f>IF(OR($P268="",$Q268=""),"",MAX(0,ROUND(($Q268-$P268)*1440,0)))</f>
        <v/>
      </c>
      <c r="U268" s="34" t="str">
        <f>IF(OR($Q268="",$R268=""),"",MAX(0,ROUND(($R268-$Q268)*1440,0)))</f>
        <v/>
      </c>
      <c r="V268" s="35" t="str">
        <f>IF($A268="","",IF($O268="No-show","Sim","Não"))</f>
        <v/>
      </c>
      <c r="W268" s="32"/>
    </row>
    <row r="269" spans="1:23" x14ac:dyDescent="0.25">
      <c r="A269" s="24"/>
      <c r="B269" s="25"/>
      <c r="C269" s="26"/>
      <c r="D269" s="24"/>
      <c r="E269" s="24"/>
      <c r="F269" s="24"/>
      <c r="G269" s="24"/>
      <c r="H269" s="24"/>
      <c r="I269" s="24"/>
      <c r="J269" s="27"/>
      <c r="K269" s="24"/>
      <c r="L269" s="24"/>
      <c r="M269" s="24"/>
      <c r="N269" s="24"/>
      <c r="O269" s="24"/>
      <c r="P269" s="26"/>
      <c r="Q269" s="26"/>
      <c r="R269" s="26"/>
      <c r="S269" s="34" t="str">
        <f>IF(OR($C269="",$P269=""),"",MAX(0,ROUND(($P269-$C269)*1440,0)))</f>
        <v/>
      </c>
      <c r="T269" s="34" t="str">
        <f>IF(OR($P269="",$Q269=""),"",MAX(0,ROUND(($Q269-$P269)*1440,0)))</f>
        <v/>
      </c>
      <c r="U269" s="34" t="str">
        <f>IF(OR($Q269="",$R269=""),"",MAX(0,ROUND(($R269-$Q269)*1440,0)))</f>
        <v/>
      </c>
      <c r="V269" s="35" t="str">
        <f>IF($A269="","",IF($O269="No-show","Sim","Não"))</f>
        <v/>
      </c>
      <c r="W269" s="32"/>
    </row>
    <row r="270" spans="1:23" x14ac:dyDescent="0.25">
      <c r="A270" s="24"/>
      <c r="B270" s="25"/>
      <c r="C270" s="26"/>
      <c r="D270" s="24"/>
      <c r="E270" s="24"/>
      <c r="F270" s="24"/>
      <c r="G270" s="24"/>
      <c r="H270" s="24"/>
      <c r="I270" s="24"/>
      <c r="J270" s="27"/>
      <c r="K270" s="24"/>
      <c r="L270" s="24"/>
      <c r="M270" s="24"/>
      <c r="N270" s="24"/>
      <c r="O270" s="24"/>
      <c r="P270" s="26"/>
      <c r="Q270" s="26"/>
      <c r="R270" s="26"/>
      <c r="S270" s="34" t="str">
        <f>IF(OR($C270="",$P270=""),"",MAX(0,ROUND(($P270-$C270)*1440,0)))</f>
        <v/>
      </c>
      <c r="T270" s="34" t="str">
        <f>IF(OR($P270="",$Q270=""),"",MAX(0,ROUND(($Q270-$P270)*1440,0)))</f>
        <v/>
      </c>
      <c r="U270" s="34" t="str">
        <f>IF(OR($Q270="",$R270=""),"",MAX(0,ROUND(($R270-$Q270)*1440,0)))</f>
        <v/>
      </c>
      <c r="V270" s="35" t="str">
        <f>IF($A270="","",IF($O270="No-show","Sim","Não"))</f>
        <v/>
      </c>
      <c r="W270" s="32"/>
    </row>
    <row r="271" spans="1:23" x14ac:dyDescent="0.25">
      <c r="A271" s="24"/>
      <c r="B271" s="25"/>
      <c r="C271" s="26"/>
      <c r="D271" s="24"/>
      <c r="E271" s="24"/>
      <c r="F271" s="24"/>
      <c r="G271" s="24"/>
      <c r="H271" s="24"/>
      <c r="I271" s="24"/>
      <c r="J271" s="27"/>
      <c r="K271" s="24"/>
      <c r="L271" s="24"/>
      <c r="M271" s="24"/>
      <c r="N271" s="24"/>
      <c r="O271" s="24"/>
      <c r="P271" s="26"/>
      <c r="Q271" s="26"/>
      <c r="R271" s="26"/>
      <c r="S271" s="34" t="str">
        <f>IF(OR($C271="",$P271=""),"",MAX(0,ROUND(($P271-$C271)*1440,0)))</f>
        <v/>
      </c>
      <c r="T271" s="34" t="str">
        <f>IF(OR($P271="",$Q271=""),"",MAX(0,ROUND(($Q271-$P271)*1440,0)))</f>
        <v/>
      </c>
      <c r="U271" s="34" t="str">
        <f>IF(OR($Q271="",$R271=""),"",MAX(0,ROUND(($R271-$Q271)*1440,0)))</f>
        <v/>
      </c>
      <c r="V271" s="35" t="str">
        <f>IF($A271="","",IF($O271="No-show","Sim","Não"))</f>
        <v/>
      </c>
      <c r="W271" s="32"/>
    </row>
    <row r="272" spans="1:23" x14ac:dyDescent="0.25">
      <c r="A272" s="24"/>
      <c r="B272" s="25"/>
      <c r="C272" s="26"/>
      <c r="D272" s="24"/>
      <c r="E272" s="24"/>
      <c r="F272" s="24"/>
      <c r="G272" s="24"/>
      <c r="H272" s="24"/>
      <c r="I272" s="24"/>
      <c r="J272" s="27"/>
      <c r="K272" s="24"/>
      <c r="L272" s="24"/>
      <c r="M272" s="24"/>
      <c r="N272" s="24"/>
      <c r="O272" s="24"/>
      <c r="P272" s="26"/>
      <c r="Q272" s="26"/>
      <c r="R272" s="26"/>
      <c r="S272" s="34" t="str">
        <f>IF(OR($C272="",$P272=""),"",MAX(0,ROUND(($P272-$C272)*1440,0)))</f>
        <v/>
      </c>
      <c r="T272" s="34" t="str">
        <f>IF(OR($P272="",$Q272=""),"",MAX(0,ROUND(($Q272-$P272)*1440,0)))</f>
        <v/>
      </c>
      <c r="U272" s="34" t="str">
        <f>IF(OR($Q272="",$R272=""),"",MAX(0,ROUND(($R272-$Q272)*1440,0)))</f>
        <v/>
      </c>
      <c r="V272" s="35" t="str">
        <f>IF($A272="","",IF($O272="No-show","Sim","Não"))</f>
        <v/>
      </c>
      <c r="W272" s="32"/>
    </row>
    <row r="273" spans="1:23" x14ac:dyDescent="0.25">
      <c r="A273" s="24"/>
      <c r="B273" s="25"/>
      <c r="C273" s="26"/>
      <c r="D273" s="24"/>
      <c r="E273" s="24"/>
      <c r="F273" s="24"/>
      <c r="G273" s="24"/>
      <c r="H273" s="24"/>
      <c r="I273" s="24"/>
      <c r="J273" s="27"/>
      <c r="K273" s="24"/>
      <c r="L273" s="24"/>
      <c r="M273" s="24"/>
      <c r="N273" s="24"/>
      <c r="O273" s="24"/>
      <c r="P273" s="26"/>
      <c r="Q273" s="26"/>
      <c r="R273" s="26"/>
      <c r="S273" s="34" t="str">
        <f>IF(OR($C273="",$P273=""),"",MAX(0,ROUND(($P273-$C273)*1440,0)))</f>
        <v/>
      </c>
      <c r="T273" s="34" t="str">
        <f>IF(OR($P273="",$Q273=""),"",MAX(0,ROUND(($Q273-$P273)*1440,0)))</f>
        <v/>
      </c>
      <c r="U273" s="34" t="str">
        <f>IF(OR($Q273="",$R273=""),"",MAX(0,ROUND(($R273-$Q273)*1440,0)))</f>
        <v/>
      </c>
      <c r="V273" s="35" t="str">
        <f>IF($A273="","",IF($O273="No-show","Sim","Não"))</f>
        <v/>
      </c>
      <c r="W273" s="32"/>
    </row>
    <row r="274" spans="1:23" x14ac:dyDescent="0.25">
      <c r="A274" s="24"/>
      <c r="B274" s="25"/>
      <c r="C274" s="26"/>
      <c r="D274" s="24"/>
      <c r="E274" s="24"/>
      <c r="F274" s="24"/>
      <c r="G274" s="24"/>
      <c r="H274" s="24"/>
      <c r="I274" s="24"/>
      <c r="J274" s="27"/>
      <c r="K274" s="24"/>
      <c r="L274" s="24"/>
      <c r="M274" s="24"/>
      <c r="N274" s="24"/>
      <c r="O274" s="24"/>
      <c r="P274" s="26"/>
      <c r="Q274" s="26"/>
      <c r="R274" s="26"/>
      <c r="S274" s="34" t="str">
        <f>IF(OR($C274="",$P274=""),"",MAX(0,ROUND(($P274-$C274)*1440,0)))</f>
        <v/>
      </c>
      <c r="T274" s="34" t="str">
        <f>IF(OR($P274="",$Q274=""),"",MAX(0,ROUND(($Q274-$P274)*1440,0)))</f>
        <v/>
      </c>
      <c r="U274" s="34" t="str">
        <f>IF(OR($Q274="",$R274=""),"",MAX(0,ROUND(($R274-$Q274)*1440,0)))</f>
        <v/>
      </c>
      <c r="V274" s="35" t="str">
        <f>IF($A274="","",IF($O274="No-show","Sim","Não"))</f>
        <v/>
      </c>
      <c r="W274" s="32"/>
    </row>
    <row r="275" spans="1:23" x14ac:dyDescent="0.25">
      <c r="A275" s="24"/>
      <c r="B275" s="25"/>
      <c r="C275" s="26"/>
      <c r="D275" s="24"/>
      <c r="E275" s="24"/>
      <c r="F275" s="24"/>
      <c r="G275" s="24"/>
      <c r="H275" s="24"/>
      <c r="I275" s="24"/>
      <c r="J275" s="27"/>
      <c r="K275" s="24"/>
      <c r="L275" s="24"/>
      <c r="M275" s="24"/>
      <c r="N275" s="24"/>
      <c r="O275" s="24"/>
      <c r="P275" s="26"/>
      <c r="Q275" s="26"/>
      <c r="R275" s="26"/>
      <c r="S275" s="34" t="str">
        <f>IF(OR($C275="",$P275=""),"",MAX(0,ROUND(($P275-$C275)*1440,0)))</f>
        <v/>
      </c>
      <c r="T275" s="34" t="str">
        <f>IF(OR($P275="",$Q275=""),"",MAX(0,ROUND(($Q275-$P275)*1440,0)))</f>
        <v/>
      </c>
      <c r="U275" s="34" t="str">
        <f>IF(OR($Q275="",$R275=""),"",MAX(0,ROUND(($R275-$Q275)*1440,0)))</f>
        <v/>
      </c>
      <c r="V275" s="35" t="str">
        <f>IF($A275="","",IF($O275="No-show","Sim","Não"))</f>
        <v/>
      </c>
      <c r="W275" s="32"/>
    </row>
    <row r="276" spans="1:23" x14ac:dyDescent="0.25">
      <c r="A276" s="24"/>
      <c r="B276" s="25"/>
      <c r="C276" s="26"/>
      <c r="D276" s="24"/>
      <c r="E276" s="24"/>
      <c r="F276" s="24"/>
      <c r="G276" s="24"/>
      <c r="H276" s="24"/>
      <c r="I276" s="24"/>
      <c r="J276" s="27"/>
      <c r="K276" s="24"/>
      <c r="L276" s="24"/>
      <c r="M276" s="24"/>
      <c r="N276" s="24"/>
      <c r="O276" s="24"/>
      <c r="P276" s="26"/>
      <c r="Q276" s="26"/>
      <c r="R276" s="26"/>
      <c r="S276" s="34" t="str">
        <f>IF(OR($C276="",$P276=""),"",MAX(0,ROUND(($P276-$C276)*1440,0)))</f>
        <v/>
      </c>
      <c r="T276" s="34" t="str">
        <f>IF(OR($P276="",$Q276=""),"",MAX(0,ROUND(($Q276-$P276)*1440,0)))</f>
        <v/>
      </c>
      <c r="U276" s="34" t="str">
        <f>IF(OR($Q276="",$R276=""),"",MAX(0,ROUND(($R276-$Q276)*1440,0)))</f>
        <v/>
      </c>
      <c r="V276" s="35" t="str">
        <f>IF($A276="","",IF($O276="No-show","Sim","Não"))</f>
        <v/>
      </c>
      <c r="W276" s="32"/>
    </row>
    <row r="277" spans="1:23" x14ac:dyDescent="0.25">
      <c r="A277" s="24"/>
      <c r="B277" s="25"/>
      <c r="C277" s="26"/>
      <c r="D277" s="24"/>
      <c r="E277" s="24"/>
      <c r="F277" s="24"/>
      <c r="G277" s="24"/>
      <c r="H277" s="24"/>
      <c r="I277" s="24"/>
      <c r="J277" s="27"/>
      <c r="K277" s="24"/>
      <c r="L277" s="24"/>
      <c r="M277" s="24"/>
      <c r="N277" s="24"/>
      <c r="O277" s="24"/>
      <c r="P277" s="26"/>
      <c r="Q277" s="26"/>
      <c r="R277" s="26"/>
      <c r="S277" s="34" t="str">
        <f>IF(OR($C277="",$P277=""),"",MAX(0,ROUND(($P277-$C277)*1440,0)))</f>
        <v/>
      </c>
      <c r="T277" s="34" t="str">
        <f>IF(OR($P277="",$Q277=""),"",MAX(0,ROUND(($Q277-$P277)*1440,0)))</f>
        <v/>
      </c>
      <c r="U277" s="34" t="str">
        <f>IF(OR($Q277="",$R277=""),"",MAX(0,ROUND(($R277-$Q277)*1440,0)))</f>
        <v/>
      </c>
      <c r="V277" s="35" t="str">
        <f>IF($A277="","",IF($O277="No-show","Sim","Não"))</f>
        <v/>
      </c>
      <c r="W277" s="32"/>
    </row>
    <row r="278" spans="1:23" x14ac:dyDescent="0.25">
      <c r="A278" s="24"/>
      <c r="B278" s="25"/>
      <c r="C278" s="26"/>
      <c r="D278" s="24"/>
      <c r="E278" s="24"/>
      <c r="F278" s="24"/>
      <c r="G278" s="24"/>
      <c r="H278" s="24"/>
      <c r="I278" s="24"/>
      <c r="J278" s="27"/>
      <c r="K278" s="24"/>
      <c r="L278" s="24"/>
      <c r="M278" s="24"/>
      <c r="N278" s="24"/>
      <c r="O278" s="24"/>
      <c r="P278" s="26"/>
      <c r="Q278" s="26"/>
      <c r="R278" s="26"/>
      <c r="S278" s="34" t="str">
        <f>IF(OR($C278="",$P278=""),"",MAX(0,ROUND(($P278-$C278)*1440,0)))</f>
        <v/>
      </c>
      <c r="T278" s="34" t="str">
        <f>IF(OR($P278="",$Q278=""),"",MAX(0,ROUND(($Q278-$P278)*1440,0)))</f>
        <v/>
      </c>
      <c r="U278" s="34" t="str">
        <f>IF(OR($Q278="",$R278=""),"",MAX(0,ROUND(($R278-$Q278)*1440,0)))</f>
        <v/>
      </c>
      <c r="V278" s="35" t="str">
        <f>IF($A278="","",IF($O278="No-show","Sim","Não"))</f>
        <v/>
      </c>
      <c r="W278" s="32"/>
    </row>
    <row r="279" spans="1:23" x14ac:dyDescent="0.25">
      <c r="A279" s="24"/>
      <c r="B279" s="25"/>
      <c r="C279" s="26"/>
      <c r="D279" s="24"/>
      <c r="E279" s="24"/>
      <c r="F279" s="24"/>
      <c r="G279" s="24"/>
      <c r="H279" s="24"/>
      <c r="I279" s="24"/>
      <c r="J279" s="27"/>
      <c r="K279" s="24"/>
      <c r="L279" s="24"/>
      <c r="M279" s="24"/>
      <c r="N279" s="24"/>
      <c r="O279" s="24"/>
      <c r="P279" s="26"/>
      <c r="Q279" s="26"/>
      <c r="R279" s="26"/>
      <c r="S279" s="34" t="str">
        <f>IF(OR($C279="",$P279=""),"",MAX(0,ROUND(($P279-$C279)*1440,0)))</f>
        <v/>
      </c>
      <c r="T279" s="34" t="str">
        <f>IF(OR($P279="",$Q279=""),"",MAX(0,ROUND(($Q279-$P279)*1440,0)))</f>
        <v/>
      </c>
      <c r="U279" s="34" t="str">
        <f>IF(OR($Q279="",$R279=""),"",MAX(0,ROUND(($R279-$Q279)*1440,0)))</f>
        <v/>
      </c>
      <c r="V279" s="35" t="str">
        <f>IF($A279="","",IF($O279="No-show","Sim","Não"))</f>
        <v/>
      </c>
      <c r="W279" s="32"/>
    </row>
    <row r="280" spans="1:23" x14ac:dyDescent="0.25">
      <c r="A280" s="24"/>
      <c r="B280" s="25"/>
      <c r="C280" s="26"/>
      <c r="D280" s="24"/>
      <c r="E280" s="24"/>
      <c r="F280" s="24"/>
      <c r="G280" s="24"/>
      <c r="H280" s="24"/>
      <c r="I280" s="24"/>
      <c r="J280" s="27"/>
      <c r="K280" s="24"/>
      <c r="L280" s="24"/>
      <c r="M280" s="24"/>
      <c r="N280" s="24"/>
      <c r="O280" s="24"/>
      <c r="P280" s="26"/>
      <c r="Q280" s="26"/>
      <c r="R280" s="26"/>
      <c r="S280" s="34" t="str">
        <f>IF(OR($C280="",$P280=""),"",MAX(0,ROUND(($P280-$C280)*1440,0)))</f>
        <v/>
      </c>
      <c r="T280" s="34" t="str">
        <f>IF(OR($P280="",$Q280=""),"",MAX(0,ROUND(($Q280-$P280)*1440,0)))</f>
        <v/>
      </c>
      <c r="U280" s="34" t="str">
        <f>IF(OR($Q280="",$R280=""),"",MAX(0,ROUND(($R280-$Q280)*1440,0)))</f>
        <v/>
      </c>
      <c r="V280" s="35" t="str">
        <f>IF($A280="","",IF($O280="No-show","Sim","Não"))</f>
        <v/>
      </c>
      <c r="W280" s="32"/>
    </row>
    <row r="281" spans="1:23" x14ac:dyDescent="0.25">
      <c r="A281" s="24"/>
      <c r="B281" s="25"/>
      <c r="C281" s="26"/>
      <c r="D281" s="24"/>
      <c r="E281" s="24"/>
      <c r="F281" s="24"/>
      <c r="G281" s="24"/>
      <c r="H281" s="24"/>
      <c r="I281" s="24"/>
      <c r="J281" s="27"/>
      <c r="K281" s="24"/>
      <c r="L281" s="24"/>
      <c r="M281" s="24"/>
      <c r="N281" s="24"/>
      <c r="O281" s="24"/>
      <c r="P281" s="26"/>
      <c r="Q281" s="26"/>
      <c r="R281" s="26"/>
      <c r="S281" s="34" t="str">
        <f>IF(OR($C281="",$P281=""),"",MAX(0,ROUND(($P281-$C281)*1440,0)))</f>
        <v/>
      </c>
      <c r="T281" s="34" t="str">
        <f>IF(OR($P281="",$Q281=""),"",MAX(0,ROUND(($Q281-$P281)*1440,0)))</f>
        <v/>
      </c>
      <c r="U281" s="34" t="str">
        <f>IF(OR($Q281="",$R281=""),"",MAX(0,ROUND(($R281-$Q281)*1440,0)))</f>
        <v/>
      </c>
      <c r="V281" s="35" t="str">
        <f>IF($A281="","",IF($O281="No-show","Sim","Não"))</f>
        <v/>
      </c>
      <c r="W281" s="32"/>
    </row>
    <row r="282" spans="1:23" x14ac:dyDescent="0.25">
      <c r="A282" s="24"/>
      <c r="B282" s="25"/>
      <c r="C282" s="26"/>
      <c r="D282" s="24"/>
      <c r="E282" s="24"/>
      <c r="F282" s="24"/>
      <c r="G282" s="24"/>
      <c r="H282" s="24"/>
      <c r="I282" s="24"/>
      <c r="J282" s="27"/>
      <c r="K282" s="24"/>
      <c r="L282" s="24"/>
      <c r="M282" s="24"/>
      <c r="N282" s="24"/>
      <c r="O282" s="24"/>
      <c r="P282" s="26"/>
      <c r="Q282" s="26"/>
      <c r="R282" s="26"/>
      <c r="S282" s="34" t="str">
        <f>IF(OR($C282="",$P282=""),"",MAX(0,ROUND(($P282-$C282)*1440,0)))</f>
        <v/>
      </c>
      <c r="T282" s="34" t="str">
        <f>IF(OR($P282="",$Q282=""),"",MAX(0,ROUND(($Q282-$P282)*1440,0)))</f>
        <v/>
      </c>
      <c r="U282" s="34" t="str">
        <f>IF(OR($Q282="",$R282=""),"",MAX(0,ROUND(($R282-$Q282)*1440,0)))</f>
        <v/>
      </c>
      <c r="V282" s="35" t="str">
        <f>IF($A282="","",IF($O282="No-show","Sim","Não"))</f>
        <v/>
      </c>
      <c r="W282" s="32"/>
    </row>
    <row r="283" spans="1:23" x14ac:dyDescent="0.25">
      <c r="A283" s="24"/>
      <c r="B283" s="25"/>
      <c r="C283" s="26"/>
      <c r="D283" s="24"/>
      <c r="E283" s="24"/>
      <c r="F283" s="24"/>
      <c r="G283" s="24"/>
      <c r="H283" s="24"/>
      <c r="I283" s="24"/>
      <c r="J283" s="27"/>
      <c r="K283" s="24"/>
      <c r="L283" s="24"/>
      <c r="M283" s="24"/>
      <c r="N283" s="24"/>
      <c r="O283" s="24"/>
      <c r="P283" s="26"/>
      <c r="Q283" s="26"/>
      <c r="R283" s="26"/>
      <c r="S283" s="34" t="str">
        <f>IF(OR($C283="",$P283=""),"",MAX(0,ROUND(($P283-$C283)*1440,0)))</f>
        <v/>
      </c>
      <c r="T283" s="34" t="str">
        <f>IF(OR($P283="",$Q283=""),"",MAX(0,ROUND(($Q283-$P283)*1440,0)))</f>
        <v/>
      </c>
      <c r="U283" s="34" t="str">
        <f>IF(OR($Q283="",$R283=""),"",MAX(0,ROUND(($R283-$Q283)*1440,0)))</f>
        <v/>
      </c>
      <c r="V283" s="35" t="str">
        <f>IF($A283="","",IF($O283="No-show","Sim","Não"))</f>
        <v/>
      </c>
      <c r="W283" s="32"/>
    </row>
    <row r="284" spans="1:23" x14ac:dyDescent="0.25">
      <c r="A284" s="24"/>
      <c r="B284" s="25"/>
      <c r="C284" s="26"/>
      <c r="D284" s="24"/>
      <c r="E284" s="24"/>
      <c r="F284" s="24"/>
      <c r="G284" s="24"/>
      <c r="H284" s="24"/>
      <c r="I284" s="24"/>
      <c r="J284" s="27"/>
      <c r="K284" s="24"/>
      <c r="L284" s="24"/>
      <c r="M284" s="24"/>
      <c r="N284" s="24"/>
      <c r="O284" s="24"/>
      <c r="P284" s="26"/>
      <c r="Q284" s="26"/>
      <c r="R284" s="26"/>
      <c r="S284" s="34" t="str">
        <f>IF(OR($C284="",$P284=""),"",MAX(0,ROUND(($P284-$C284)*1440,0)))</f>
        <v/>
      </c>
      <c r="T284" s="34" t="str">
        <f>IF(OR($P284="",$Q284=""),"",MAX(0,ROUND(($Q284-$P284)*1440,0)))</f>
        <v/>
      </c>
      <c r="U284" s="34" t="str">
        <f>IF(OR($Q284="",$R284=""),"",MAX(0,ROUND(($R284-$Q284)*1440,0)))</f>
        <v/>
      </c>
      <c r="V284" s="35" t="str">
        <f>IF($A284="","",IF($O284="No-show","Sim","Não"))</f>
        <v/>
      </c>
      <c r="W284" s="32"/>
    </row>
    <row r="285" spans="1:23" x14ac:dyDescent="0.25">
      <c r="A285" s="24"/>
      <c r="B285" s="25"/>
      <c r="C285" s="26"/>
      <c r="D285" s="24"/>
      <c r="E285" s="24"/>
      <c r="F285" s="24"/>
      <c r="G285" s="24"/>
      <c r="H285" s="24"/>
      <c r="I285" s="24"/>
      <c r="J285" s="27"/>
      <c r="K285" s="24"/>
      <c r="L285" s="24"/>
      <c r="M285" s="24"/>
      <c r="N285" s="24"/>
      <c r="O285" s="24"/>
      <c r="P285" s="26"/>
      <c r="Q285" s="26"/>
      <c r="R285" s="26"/>
      <c r="S285" s="34" t="str">
        <f>IF(OR($C285="",$P285=""),"",MAX(0,ROUND(($P285-$C285)*1440,0)))</f>
        <v/>
      </c>
      <c r="T285" s="34" t="str">
        <f>IF(OR($P285="",$Q285=""),"",MAX(0,ROUND(($Q285-$P285)*1440,0)))</f>
        <v/>
      </c>
      <c r="U285" s="34" t="str">
        <f>IF(OR($Q285="",$R285=""),"",MAX(0,ROUND(($R285-$Q285)*1440,0)))</f>
        <v/>
      </c>
      <c r="V285" s="35" t="str">
        <f>IF($A285="","",IF($O285="No-show","Sim","Não"))</f>
        <v/>
      </c>
      <c r="W285" s="32"/>
    </row>
    <row r="286" spans="1:23" x14ac:dyDescent="0.25">
      <c r="A286" s="24"/>
      <c r="B286" s="25"/>
      <c r="C286" s="26"/>
      <c r="D286" s="24"/>
      <c r="E286" s="24"/>
      <c r="F286" s="24"/>
      <c r="G286" s="24"/>
      <c r="H286" s="24"/>
      <c r="I286" s="24"/>
      <c r="J286" s="27"/>
      <c r="K286" s="24"/>
      <c r="L286" s="24"/>
      <c r="M286" s="24"/>
      <c r="N286" s="24"/>
      <c r="O286" s="24"/>
      <c r="P286" s="26"/>
      <c r="Q286" s="26"/>
      <c r="R286" s="26"/>
      <c r="S286" s="34" t="str">
        <f>IF(OR($C286="",$P286=""),"",MAX(0,ROUND(($P286-$C286)*1440,0)))</f>
        <v/>
      </c>
      <c r="T286" s="34" t="str">
        <f>IF(OR($P286="",$Q286=""),"",MAX(0,ROUND(($Q286-$P286)*1440,0)))</f>
        <v/>
      </c>
      <c r="U286" s="34" t="str">
        <f>IF(OR($Q286="",$R286=""),"",MAX(0,ROUND(($R286-$Q286)*1440,0)))</f>
        <v/>
      </c>
      <c r="V286" s="35" t="str">
        <f>IF($A286="","",IF($O286="No-show","Sim","Não"))</f>
        <v/>
      </c>
      <c r="W286" s="32"/>
    </row>
    <row r="287" spans="1:23" x14ac:dyDescent="0.25">
      <c r="A287" s="24"/>
      <c r="B287" s="25"/>
      <c r="C287" s="26"/>
      <c r="D287" s="24"/>
      <c r="E287" s="24"/>
      <c r="F287" s="24"/>
      <c r="G287" s="24"/>
      <c r="H287" s="24"/>
      <c r="I287" s="24"/>
      <c r="J287" s="27"/>
      <c r="K287" s="24"/>
      <c r="L287" s="24"/>
      <c r="M287" s="24"/>
      <c r="N287" s="24"/>
      <c r="O287" s="24"/>
      <c r="P287" s="26"/>
      <c r="Q287" s="26"/>
      <c r="R287" s="26"/>
      <c r="S287" s="34" t="str">
        <f>IF(OR($C287="",$P287=""),"",MAX(0,ROUND(($P287-$C287)*1440,0)))</f>
        <v/>
      </c>
      <c r="T287" s="34" t="str">
        <f>IF(OR($P287="",$Q287=""),"",MAX(0,ROUND(($Q287-$P287)*1440,0)))</f>
        <v/>
      </c>
      <c r="U287" s="34" t="str">
        <f>IF(OR($Q287="",$R287=""),"",MAX(0,ROUND(($R287-$Q287)*1440,0)))</f>
        <v/>
      </c>
      <c r="V287" s="35" t="str">
        <f>IF($A287="","",IF($O287="No-show","Sim","Não"))</f>
        <v/>
      </c>
      <c r="W287" s="32"/>
    </row>
    <row r="288" spans="1:23" x14ac:dyDescent="0.25">
      <c r="A288" s="24"/>
      <c r="B288" s="25"/>
      <c r="C288" s="26"/>
      <c r="D288" s="24"/>
      <c r="E288" s="24"/>
      <c r="F288" s="24"/>
      <c r="G288" s="24"/>
      <c r="H288" s="24"/>
      <c r="I288" s="24"/>
      <c r="J288" s="27"/>
      <c r="K288" s="24"/>
      <c r="L288" s="24"/>
      <c r="M288" s="24"/>
      <c r="N288" s="24"/>
      <c r="O288" s="24"/>
      <c r="P288" s="26"/>
      <c r="Q288" s="26"/>
      <c r="R288" s="26"/>
      <c r="S288" s="34" t="str">
        <f>IF(OR($C288="",$P288=""),"",MAX(0,ROUND(($P288-$C288)*1440,0)))</f>
        <v/>
      </c>
      <c r="T288" s="34" t="str">
        <f>IF(OR($P288="",$Q288=""),"",MAX(0,ROUND(($Q288-$P288)*1440,0)))</f>
        <v/>
      </c>
      <c r="U288" s="34" t="str">
        <f>IF(OR($Q288="",$R288=""),"",MAX(0,ROUND(($R288-$Q288)*1440,0)))</f>
        <v/>
      </c>
      <c r="V288" s="35" t="str">
        <f>IF($A288="","",IF($O288="No-show","Sim","Não"))</f>
        <v/>
      </c>
      <c r="W288" s="32"/>
    </row>
    <row r="289" spans="1:23" x14ac:dyDescent="0.25">
      <c r="A289" s="24"/>
      <c r="B289" s="25"/>
      <c r="C289" s="26"/>
      <c r="D289" s="24"/>
      <c r="E289" s="24"/>
      <c r="F289" s="24"/>
      <c r="G289" s="24"/>
      <c r="H289" s="24"/>
      <c r="I289" s="24"/>
      <c r="J289" s="27"/>
      <c r="K289" s="24"/>
      <c r="L289" s="24"/>
      <c r="M289" s="24"/>
      <c r="N289" s="24"/>
      <c r="O289" s="24"/>
      <c r="P289" s="26"/>
      <c r="Q289" s="26"/>
      <c r="R289" s="26"/>
      <c r="S289" s="34" t="str">
        <f>IF(OR($C289="",$P289=""),"",MAX(0,ROUND(($P289-$C289)*1440,0)))</f>
        <v/>
      </c>
      <c r="T289" s="34" t="str">
        <f>IF(OR($P289="",$Q289=""),"",MAX(0,ROUND(($Q289-$P289)*1440,0)))</f>
        <v/>
      </c>
      <c r="U289" s="34" t="str">
        <f>IF(OR($Q289="",$R289=""),"",MAX(0,ROUND(($R289-$Q289)*1440,0)))</f>
        <v/>
      </c>
      <c r="V289" s="35" t="str">
        <f>IF($A289="","",IF($O289="No-show","Sim","Não"))</f>
        <v/>
      </c>
      <c r="W289" s="32"/>
    </row>
    <row r="290" spans="1:23" x14ac:dyDescent="0.25">
      <c r="A290" s="24"/>
      <c r="B290" s="25"/>
      <c r="C290" s="26"/>
      <c r="D290" s="24"/>
      <c r="E290" s="24"/>
      <c r="F290" s="24"/>
      <c r="G290" s="24"/>
      <c r="H290" s="24"/>
      <c r="I290" s="24"/>
      <c r="J290" s="27"/>
      <c r="K290" s="24"/>
      <c r="L290" s="24"/>
      <c r="M290" s="24"/>
      <c r="N290" s="24"/>
      <c r="O290" s="24"/>
      <c r="P290" s="26"/>
      <c r="Q290" s="26"/>
      <c r="R290" s="26"/>
      <c r="S290" s="34" t="str">
        <f>IF(OR($C290="",$P290=""),"",MAX(0,ROUND(($P290-$C290)*1440,0)))</f>
        <v/>
      </c>
      <c r="T290" s="34" t="str">
        <f>IF(OR($P290="",$Q290=""),"",MAX(0,ROUND(($Q290-$P290)*1440,0)))</f>
        <v/>
      </c>
      <c r="U290" s="34" t="str">
        <f>IF(OR($Q290="",$R290=""),"",MAX(0,ROUND(($R290-$Q290)*1440,0)))</f>
        <v/>
      </c>
      <c r="V290" s="35" t="str">
        <f>IF($A290="","",IF($O290="No-show","Sim","Não"))</f>
        <v/>
      </c>
      <c r="W290" s="32"/>
    </row>
    <row r="291" spans="1:23" x14ac:dyDescent="0.25">
      <c r="A291" s="24"/>
      <c r="B291" s="25"/>
      <c r="C291" s="26"/>
      <c r="D291" s="24"/>
      <c r="E291" s="24"/>
      <c r="F291" s="24"/>
      <c r="G291" s="24"/>
      <c r="H291" s="24"/>
      <c r="I291" s="24"/>
      <c r="J291" s="27"/>
      <c r="K291" s="24"/>
      <c r="L291" s="24"/>
      <c r="M291" s="24"/>
      <c r="N291" s="24"/>
      <c r="O291" s="24"/>
      <c r="P291" s="26"/>
      <c r="Q291" s="26"/>
      <c r="R291" s="26"/>
      <c r="S291" s="34" t="str">
        <f>IF(OR($C291="",$P291=""),"",MAX(0,ROUND(($P291-$C291)*1440,0)))</f>
        <v/>
      </c>
      <c r="T291" s="34" t="str">
        <f>IF(OR($P291="",$Q291=""),"",MAX(0,ROUND(($Q291-$P291)*1440,0)))</f>
        <v/>
      </c>
      <c r="U291" s="34" t="str">
        <f>IF(OR($Q291="",$R291=""),"",MAX(0,ROUND(($R291-$Q291)*1440,0)))</f>
        <v/>
      </c>
      <c r="V291" s="35" t="str">
        <f>IF($A291="","",IF($O291="No-show","Sim","Não"))</f>
        <v/>
      </c>
      <c r="W291" s="32"/>
    </row>
    <row r="292" spans="1:23" x14ac:dyDescent="0.25">
      <c r="A292" s="24"/>
      <c r="B292" s="25"/>
      <c r="C292" s="26"/>
      <c r="D292" s="24"/>
      <c r="E292" s="24"/>
      <c r="F292" s="24"/>
      <c r="G292" s="24"/>
      <c r="H292" s="24"/>
      <c r="I292" s="24"/>
      <c r="J292" s="27"/>
      <c r="K292" s="24"/>
      <c r="L292" s="24"/>
      <c r="M292" s="24"/>
      <c r="N292" s="24"/>
      <c r="O292" s="24"/>
      <c r="P292" s="26"/>
      <c r="Q292" s="26"/>
      <c r="R292" s="26"/>
      <c r="S292" s="34" t="str">
        <f>IF(OR($C292="",$P292=""),"",MAX(0,ROUND(($P292-$C292)*1440,0)))</f>
        <v/>
      </c>
      <c r="T292" s="34" t="str">
        <f>IF(OR($P292="",$Q292=""),"",MAX(0,ROUND(($Q292-$P292)*1440,0)))</f>
        <v/>
      </c>
      <c r="U292" s="34" t="str">
        <f>IF(OR($Q292="",$R292=""),"",MAX(0,ROUND(($R292-$Q292)*1440,0)))</f>
        <v/>
      </c>
      <c r="V292" s="35" t="str">
        <f>IF($A292="","",IF($O292="No-show","Sim","Não"))</f>
        <v/>
      </c>
      <c r="W292" s="32"/>
    </row>
    <row r="293" spans="1:23" x14ac:dyDescent="0.25">
      <c r="A293" s="24"/>
      <c r="B293" s="25"/>
      <c r="C293" s="26"/>
      <c r="D293" s="24"/>
      <c r="E293" s="24"/>
      <c r="F293" s="24"/>
      <c r="G293" s="24"/>
      <c r="H293" s="24"/>
      <c r="I293" s="24"/>
      <c r="J293" s="27"/>
      <c r="K293" s="24"/>
      <c r="L293" s="24"/>
      <c r="M293" s="24"/>
      <c r="N293" s="24"/>
      <c r="O293" s="24"/>
      <c r="P293" s="26"/>
      <c r="Q293" s="26"/>
      <c r="R293" s="26"/>
      <c r="S293" s="34" t="str">
        <f>IF(OR($C293="",$P293=""),"",MAX(0,ROUND(($P293-$C293)*1440,0)))</f>
        <v/>
      </c>
      <c r="T293" s="34" t="str">
        <f>IF(OR($P293="",$Q293=""),"",MAX(0,ROUND(($Q293-$P293)*1440,0)))</f>
        <v/>
      </c>
      <c r="U293" s="34" t="str">
        <f>IF(OR($Q293="",$R293=""),"",MAX(0,ROUND(($R293-$Q293)*1440,0)))</f>
        <v/>
      </c>
      <c r="V293" s="35" t="str">
        <f>IF($A293="","",IF($O293="No-show","Sim","Não"))</f>
        <v/>
      </c>
      <c r="W293" s="32"/>
    </row>
    <row r="294" spans="1:23" x14ac:dyDescent="0.25">
      <c r="A294" s="24"/>
      <c r="B294" s="25"/>
      <c r="C294" s="26"/>
      <c r="D294" s="24"/>
      <c r="E294" s="24"/>
      <c r="F294" s="24"/>
      <c r="G294" s="24"/>
      <c r="H294" s="24"/>
      <c r="I294" s="24"/>
      <c r="J294" s="27"/>
      <c r="K294" s="24"/>
      <c r="L294" s="24"/>
      <c r="M294" s="24"/>
      <c r="N294" s="24"/>
      <c r="O294" s="24"/>
      <c r="P294" s="26"/>
      <c r="Q294" s="26"/>
      <c r="R294" s="26"/>
      <c r="S294" s="34" t="str">
        <f>IF(OR($C294="",$P294=""),"",MAX(0,ROUND(($P294-$C294)*1440,0)))</f>
        <v/>
      </c>
      <c r="T294" s="34" t="str">
        <f>IF(OR($P294="",$Q294=""),"",MAX(0,ROUND(($Q294-$P294)*1440,0)))</f>
        <v/>
      </c>
      <c r="U294" s="34" t="str">
        <f>IF(OR($Q294="",$R294=""),"",MAX(0,ROUND(($R294-$Q294)*1440,0)))</f>
        <v/>
      </c>
      <c r="V294" s="35" t="str">
        <f>IF($A294="","",IF($O294="No-show","Sim","Não"))</f>
        <v/>
      </c>
      <c r="W294" s="32"/>
    </row>
    <row r="295" spans="1:23" x14ac:dyDescent="0.25">
      <c r="A295" s="24"/>
      <c r="B295" s="25"/>
      <c r="C295" s="26"/>
      <c r="D295" s="24"/>
      <c r="E295" s="24"/>
      <c r="F295" s="24"/>
      <c r="G295" s="24"/>
      <c r="H295" s="24"/>
      <c r="I295" s="24"/>
      <c r="J295" s="27"/>
      <c r="K295" s="24"/>
      <c r="L295" s="24"/>
      <c r="M295" s="24"/>
      <c r="N295" s="24"/>
      <c r="O295" s="24"/>
      <c r="P295" s="26"/>
      <c r="Q295" s="26"/>
      <c r="R295" s="26"/>
      <c r="S295" s="34" t="str">
        <f>IF(OR($C295="",$P295=""),"",MAX(0,ROUND(($P295-$C295)*1440,0)))</f>
        <v/>
      </c>
      <c r="T295" s="34" t="str">
        <f>IF(OR($P295="",$Q295=""),"",MAX(0,ROUND(($Q295-$P295)*1440,0)))</f>
        <v/>
      </c>
      <c r="U295" s="34" t="str">
        <f>IF(OR($Q295="",$R295=""),"",MAX(0,ROUND(($R295-$Q295)*1440,0)))</f>
        <v/>
      </c>
      <c r="V295" s="35" t="str">
        <f>IF($A295="","",IF($O295="No-show","Sim","Não"))</f>
        <v/>
      </c>
      <c r="W295" s="32"/>
    </row>
    <row r="296" spans="1:23" x14ac:dyDescent="0.25">
      <c r="A296" s="24"/>
      <c r="B296" s="25"/>
      <c r="C296" s="26"/>
      <c r="D296" s="24"/>
      <c r="E296" s="24"/>
      <c r="F296" s="24"/>
      <c r="G296" s="24"/>
      <c r="H296" s="24"/>
      <c r="I296" s="24"/>
      <c r="J296" s="27"/>
      <c r="K296" s="24"/>
      <c r="L296" s="24"/>
      <c r="M296" s="24"/>
      <c r="N296" s="24"/>
      <c r="O296" s="24"/>
      <c r="P296" s="26"/>
      <c r="Q296" s="26"/>
      <c r="R296" s="26"/>
      <c r="S296" s="34" t="str">
        <f>IF(OR($C296="",$P296=""),"",MAX(0,ROUND(($P296-$C296)*1440,0)))</f>
        <v/>
      </c>
      <c r="T296" s="34" t="str">
        <f>IF(OR($P296="",$Q296=""),"",MAX(0,ROUND(($Q296-$P296)*1440,0)))</f>
        <v/>
      </c>
      <c r="U296" s="34" t="str">
        <f>IF(OR($Q296="",$R296=""),"",MAX(0,ROUND(($R296-$Q296)*1440,0)))</f>
        <v/>
      </c>
      <c r="V296" s="35" t="str">
        <f>IF($A296="","",IF($O296="No-show","Sim","Não"))</f>
        <v/>
      </c>
      <c r="W296" s="32"/>
    </row>
    <row r="297" spans="1:23" x14ac:dyDescent="0.25">
      <c r="A297" s="24"/>
      <c r="B297" s="25"/>
      <c r="C297" s="26"/>
      <c r="D297" s="24"/>
      <c r="E297" s="24"/>
      <c r="F297" s="24"/>
      <c r="G297" s="24"/>
      <c r="H297" s="24"/>
      <c r="I297" s="24"/>
      <c r="J297" s="27"/>
      <c r="K297" s="24"/>
      <c r="L297" s="24"/>
      <c r="M297" s="24"/>
      <c r="N297" s="24"/>
      <c r="O297" s="24"/>
      <c r="P297" s="26"/>
      <c r="Q297" s="26"/>
      <c r="R297" s="26"/>
      <c r="S297" s="34" t="str">
        <f>IF(OR($C297="",$P297=""),"",MAX(0,ROUND(($P297-$C297)*1440,0)))</f>
        <v/>
      </c>
      <c r="T297" s="34" t="str">
        <f>IF(OR($P297="",$Q297=""),"",MAX(0,ROUND(($Q297-$P297)*1440,0)))</f>
        <v/>
      </c>
      <c r="U297" s="34" t="str">
        <f>IF(OR($Q297="",$R297=""),"",MAX(0,ROUND(($R297-$Q297)*1440,0)))</f>
        <v/>
      </c>
      <c r="V297" s="35" t="str">
        <f>IF($A297="","",IF($O297="No-show","Sim","Não"))</f>
        <v/>
      </c>
      <c r="W297" s="32"/>
    </row>
    <row r="298" spans="1:23" x14ac:dyDescent="0.25">
      <c r="A298" s="24"/>
      <c r="B298" s="25"/>
      <c r="C298" s="26"/>
      <c r="D298" s="24"/>
      <c r="E298" s="24"/>
      <c r="F298" s="24"/>
      <c r="G298" s="24"/>
      <c r="H298" s="24"/>
      <c r="I298" s="24"/>
      <c r="J298" s="27"/>
      <c r="K298" s="24"/>
      <c r="L298" s="24"/>
      <c r="M298" s="24"/>
      <c r="N298" s="24"/>
      <c r="O298" s="24"/>
      <c r="P298" s="26"/>
      <c r="Q298" s="26"/>
      <c r="R298" s="26"/>
      <c r="S298" s="34" t="str">
        <f>IF(OR($C298="",$P298=""),"",MAX(0,ROUND(($P298-$C298)*1440,0)))</f>
        <v/>
      </c>
      <c r="T298" s="34" t="str">
        <f>IF(OR($P298="",$Q298=""),"",MAX(0,ROUND(($Q298-$P298)*1440,0)))</f>
        <v/>
      </c>
      <c r="U298" s="34" t="str">
        <f>IF(OR($Q298="",$R298=""),"",MAX(0,ROUND(($R298-$Q298)*1440,0)))</f>
        <v/>
      </c>
      <c r="V298" s="35" t="str">
        <f>IF($A298="","",IF($O298="No-show","Sim","Não"))</f>
        <v/>
      </c>
      <c r="W298" s="32"/>
    </row>
    <row r="299" spans="1:23" x14ac:dyDescent="0.25">
      <c r="A299" s="24"/>
      <c r="B299" s="25"/>
      <c r="C299" s="26"/>
      <c r="D299" s="24"/>
      <c r="E299" s="24"/>
      <c r="F299" s="24"/>
      <c r="G299" s="24"/>
      <c r="H299" s="24"/>
      <c r="I299" s="24"/>
      <c r="J299" s="27"/>
      <c r="K299" s="24"/>
      <c r="L299" s="24"/>
      <c r="M299" s="24"/>
      <c r="N299" s="24"/>
      <c r="O299" s="24"/>
      <c r="P299" s="26"/>
      <c r="Q299" s="26"/>
      <c r="R299" s="26"/>
      <c r="S299" s="34" t="str">
        <f>IF(OR($C299="",$P299=""),"",MAX(0,ROUND(($P299-$C299)*1440,0)))</f>
        <v/>
      </c>
      <c r="T299" s="34" t="str">
        <f>IF(OR($P299="",$Q299=""),"",MAX(0,ROUND(($Q299-$P299)*1440,0)))</f>
        <v/>
      </c>
      <c r="U299" s="34" t="str">
        <f>IF(OR($Q299="",$R299=""),"",MAX(0,ROUND(($R299-$Q299)*1440,0)))</f>
        <v/>
      </c>
      <c r="V299" s="35" t="str">
        <f>IF($A299="","",IF($O299="No-show","Sim","Não"))</f>
        <v/>
      </c>
      <c r="W299" s="32"/>
    </row>
    <row r="300" spans="1:23" x14ac:dyDescent="0.25">
      <c r="A300" s="24"/>
      <c r="B300" s="25"/>
      <c r="C300" s="26"/>
      <c r="D300" s="24"/>
      <c r="E300" s="24"/>
      <c r="F300" s="24"/>
      <c r="G300" s="24"/>
      <c r="H300" s="24"/>
      <c r="I300" s="24"/>
      <c r="J300" s="27"/>
      <c r="K300" s="24"/>
      <c r="L300" s="24"/>
      <c r="M300" s="24"/>
      <c r="N300" s="24"/>
      <c r="O300" s="24"/>
      <c r="P300" s="26"/>
      <c r="Q300" s="26"/>
      <c r="R300" s="26"/>
      <c r="S300" s="34" t="str">
        <f>IF(OR($C300="",$P300=""),"",MAX(0,ROUND(($P300-$C300)*1440,0)))</f>
        <v/>
      </c>
      <c r="T300" s="34" t="str">
        <f>IF(OR($P300="",$Q300=""),"",MAX(0,ROUND(($Q300-$P300)*1440,0)))</f>
        <v/>
      </c>
      <c r="U300" s="34" t="str">
        <f>IF(OR($Q300="",$R300=""),"",MAX(0,ROUND(($R300-$Q300)*1440,0)))</f>
        <v/>
      </c>
      <c r="V300" s="35" t="str">
        <f>IF($A300="","",IF($O300="No-show","Sim","Não"))</f>
        <v/>
      </c>
      <c r="W300" s="32"/>
    </row>
    <row r="301" spans="1:23" x14ac:dyDescent="0.25">
      <c r="A301" s="24"/>
      <c r="B301" s="25"/>
      <c r="C301" s="26"/>
      <c r="D301" s="24"/>
      <c r="E301" s="24"/>
      <c r="F301" s="24"/>
      <c r="G301" s="24"/>
      <c r="H301" s="24"/>
      <c r="I301" s="24"/>
      <c r="J301" s="27"/>
      <c r="K301" s="24"/>
      <c r="L301" s="24"/>
      <c r="M301" s="24"/>
      <c r="N301" s="24"/>
      <c r="O301" s="24"/>
      <c r="P301" s="26"/>
      <c r="Q301" s="26"/>
      <c r="R301" s="26"/>
      <c r="S301" s="34" t="str">
        <f>IF(OR($C301="",$P301=""),"",MAX(0,ROUND(($P301-$C301)*1440,0)))</f>
        <v/>
      </c>
      <c r="T301" s="34" t="str">
        <f>IF(OR($P301="",$Q301=""),"",MAX(0,ROUND(($Q301-$P301)*1440,0)))</f>
        <v/>
      </c>
      <c r="U301" s="34" t="str">
        <f>IF(OR($Q301="",$R301=""),"",MAX(0,ROUND(($R301-$Q301)*1440,0)))</f>
        <v/>
      </c>
      <c r="V301" s="35" t="str">
        <f>IF($A301="","",IF($O301="No-show","Sim","Não"))</f>
        <v/>
      </c>
      <c r="W301" s="32"/>
    </row>
    <row r="302" spans="1:23" x14ac:dyDescent="0.25">
      <c r="A302" s="24"/>
      <c r="B302" s="25"/>
      <c r="C302" s="26"/>
      <c r="D302" s="24"/>
      <c r="E302" s="24"/>
      <c r="F302" s="24"/>
      <c r="G302" s="24"/>
      <c r="H302" s="24"/>
      <c r="I302" s="24"/>
      <c r="J302" s="27"/>
      <c r="K302" s="24"/>
      <c r="L302" s="24"/>
      <c r="M302" s="24"/>
      <c r="N302" s="24"/>
      <c r="O302" s="24"/>
      <c r="P302" s="26"/>
      <c r="Q302" s="26"/>
      <c r="R302" s="26"/>
      <c r="S302" s="34" t="str">
        <f>IF(OR($C302="",$P302=""),"",MAX(0,ROUND(($P302-$C302)*1440,0)))</f>
        <v/>
      </c>
      <c r="T302" s="34" t="str">
        <f>IF(OR($P302="",$Q302=""),"",MAX(0,ROUND(($Q302-$P302)*1440,0)))</f>
        <v/>
      </c>
      <c r="U302" s="34" t="str">
        <f>IF(OR($Q302="",$R302=""),"",MAX(0,ROUND(($R302-$Q302)*1440,0)))</f>
        <v/>
      </c>
      <c r="V302" s="35" t="str">
        <f>IF($A302="","",IF($O302="No-show","Sim","Não"))</f>
        <v/>
      </c>
      <c r="W302" s="32"/>
    </row>
    <row r="303" spans="1:23" x14ac:dyDescent="0.25">
      <c r="A303" s="24"/>
      <c r="B303" s="25"/>
      <c r="C303" s="26"/>
      <c r="D303" s="24"/>
      <c r="E303" s="24"/>
      <c r="F303" s="24"/>
      <c r="G303" s="24"/>
      <c r="H303" s="24"/>
      <c r="I303" s="24"/>
      <c r="J303" s="27"/>
      <c r="K303" s="24"/>
      <c r="L303" s="24"/>
      <c r="M303" s="24"/>
      <c r="N303" s="24"/>
      <c r="O303" s="24"/>
      <c r="P303" s="26"/>
      <c r="Q303" s="26"/>
      <c r="R303" s="26"/>
      <c r="S303" s="34" t="str">
        <f>IF(OR($C303="",$P303=""),"",MAX(0,ROUND(($P303-$C303)*1440,0)))</f>
        <v/>
      </c>
      <c r="T303" s="34" t="str">
        <f>IF(OR($P303="",$Q303=""),"",MAX(0,ROUND(($Q303-$P303)*1440,0)))</f>
        <v/>
      </c>
      <c r="U303" s="34" t="str">
        <f>IF(OR($Q303="",$R303=""),"",MAX(0,ROUND(($R303-$Q303)*1440,0)))</f>
        <v/>
      </c>
      <c r="V303" s="35" t="str">
        <f>IF($A303="","",IF($O303="No-show","Sim","Não"))</f>
        <v/>
      </c>
      <c r="W303" s="32"/>
    </row>
    <row r="304" spans="1:23" x14ac:dyDescent="0.25">
      <c r="A304" s="24"/>
      <c r="B304" s="25"/>
      <c r="C304" s="26"/>
      <c r="D304" s="24"/>
      <c r="E304" s="24"/>
      <c r="F304" s="24"/>
      <c r="G304" s="24"/>
      <c r="H304" s="24"/>
      <c r="I304" s="24"/>
      <c r="J304" s="27"/>
      <c r="K304" s="24"/>
      <c r="L304" s="24"/>
      <c r="M304" s="24"/>
      <c r="N304" s="24"/>
      <c r="O304" s="24"/>
      <c r="P304" s="26"/>
      <c r="Q304" s="26"/>
      <c r="R304" s="26"/>
      <c r="S304" s="34" t="str">
        <f>IF(OR($C304="",$P304=""),"",MAX(0,ROUND(($P304-$C304)*1440,0)))</f>
        <v/>
      </c>
      <c r="T304" s="34" t="str">
        <f>IF(OR($P304="",$Q304=""),"",MAX(0,ROUND(($Q304-$P304)*1440,0)))</f>
        <v/>
      </c>
      <c r="U304" s="34" t="str">
        <f>IF(OR($Q304="",$R304=""),"",MAX(0,ROUND(($R304-$Q304)*1440,0)))</f>
        <v/>
      </c>
      <c r="V304" s="35" t="str">
        <f>IF($A304="","",IF($O304="No-show","Sim","Não"))</f>
        <v/>
      </c>
      <c r="W304" s="32"/>
    </row>
    <row r="305" spans="1:23" x14ac:dyDescent="0.25">
      <c r="A305" s="24"/>
      <c r="B305" s="25"/>
      <c r="C305" s="26"/>
      <c r="D305" s="24"/>
      <c r="E305" s="24"/>
      <c r="F305" s="24"/>
      <c r="G305" s="24"/>
      <c r="H305" s="24"/>
      <c r="I305" s="24"/>
      <c r="J305" s="27"/>
      <c r="K305" s="24"/>
      <c r="L305" s="24"/>
      <c r="M305" s="24"/>
      <c r="N305" s="24"/>
      <c r="O305" s="24"/>
      <c r="P305" s="26"/>
      <c r="Q305" s="26"/>
      <c r="R305" s="26"/>
      <c r="S305" s="34" t="str">
        <f>IF(OR($C305="",$P305=""),"",MAX(0,ROUND(($P305-$C305)*1440,0)))</f>
        <v/>
      </c>
      <c r="T305" s="34" t="str">
        <f>IF(OR($P305="",$Q305=""),"",MAX(0,ROUND(($Q305-$P305)*1440,0)))</f>
        <v/>
      </c>
      <c r="U305" s="34" t="str">
        <f>IF(OR($Q305="",$R305=""),"",MAX(0,ROUND(($R305-$Q305)*1440,0)))</f>
        <v/>
      </c>
      <c r="V305" s="35" t="str">
        <f>IF($A305="","",IF($O305="No-show","Sim","Não"))</f>
        <v/>
      </c>
      <c r="W305" s="32"/>
    </row>
    <row r="306" spans="1:23" x14ac:dyDescent="0.25">
      <c r="A306" s="24"/>
      <c r="B306" s="25"/>
      <c r="C306" s="26"/>
      <c r="D306" s="24"/>
      <c r="E306" s="24"/>
      <c r="F306" s="24"/>
      <c r="G306" s="24"/>
      <c r="H306" s="24"/>
      <c r="I306" s="24"/>
      <c r="J306" s="27"/>
      <c r="K306" s="24"/>
      <c r="L306" s="24"/>
      <c r="M306" s="24"/>
      <c r="N306" s="24"/>
      <c r="O306" s="24"/>
      <c r="P306" s="26"/>
      <c r="Q306" s="26"/>
      <c r="R306" s="26"/>
      <c r="S306" s="34" t="str">
        <f>IF(OR($C306="",$P306=""),"",MAX(0,ROUND(($P306-$C306)*1440,0)))</f>
        <v/>
      </c>
      <c r="T306" s="34" t="str">
        <f>IF(OR($P306="",$Q306=""),"",MAX(0,ROUND(($Q306-$P306)*1440,0)))</f>
        <v/>
      </c>
      <c r="U306" s="34" t="str">
        <f>IF(OR($Q306="",$R306=""),"",MAX(0,ROUND(($R306-$Q306)*1440,0)))</f>
        <v/>
      </c>
      <c r="V306" s="35" t="str">
        <f>IF($A306="","",IF($O306="No-show","Sim","Não"))</f>
        <v/>
      </c>
      <c r="W306" s="32"/>
    </row>
    <row r="307" spans="1:23" x14ac:dyDescent="0.25">
      <c r="A307" s="24"/>
      <c r="B307" s="25"/>
      <c r="C307" s="26"/>
      <c r="D307" s="24"/>
      <c r="E307" s="24"/>
      <c r="F307" s="24"/>
      <c r="G307" s="24"/>
      <c r="H307" s="24"/>
      <c r="I307" s="24"/>
      <c r="J307" s="27"/>
      <c r="K307" s="24"/>
      <c r="L307" s="24"/>
      <c r="M307" s="24"/>
      <c r="N307" s="24"/>
      <c r="O307" s="24"/>
      <c r="P307" s="26"/>
      <c r="Q307" s="26"/>
      <c r="R307" s="26"/>
      <c r="S307" s="34" t="str">
        <f>IF(OR($C307="",$P307=""),"",MAX(0,ROUND(($P307-$C307)*1440,0)))</f>
        <v/>
      </c>
      <c r="T307" s="34" t="str">
        <f>IF(OR($P307="",$Q307=""),"",MAX(0,ROUND(($Q307-$P307)*1440,0)))</f>
        <v/>
      </c>
      <c r="U307" s="34" t="str">
        <f>IF(OR($Q307="",$R307=""),"",MAX(0,ROUND(($R307-$Q307)*1440,0)))</f>
        <v/>
      </c>
      <c r="V307" s="35" t="str">
        <f>IF($A307="","",IF($O307="No-show","Sim","Não"))</f>
        <v/>
      </c>
      <c r="W307" s="32"/>
    </row>
    <row r="308" spans="1:23" x14ac:dyDescent="0.25">
      <c r="A308" s="24"/>
      <c r="B308" s="25"/>
      <c r="C308" s="26"/>
      <c r="D308" s="24"/>
      <c r="E308" s="24"/>
      <c r="F308" s="24"/>
      <c r="G308" s="24"/>
      <c r="H308" s="24"/>
      <c r="I308" s="24"/>
      <c r="J308" s="27"/>
      <c r="K308" s="24"/>
      <c r="L308" s="24"/>
      <c r="M308" s="24"/>
      <c r="N308" s="24"/>
      <c r="O308" s="24"/>
      <c r="P308" s="26"/>
      <c r="Q308" s="26"/>
      <c r="R308" s="26"/>
      <c r="S308" s="34" t="str">
        <f>IF(OR($C308="",$P308=""),"",MAX(0,ROUND(($P308-$C308)*1440,0)))</f>
        <v/>
      </c>
      <c r="T308" s="34" t="str">
        <f>IF(OR($P308="",$Q308=""),"",MAX(0,ROUND(($Q308-$P308)*1440,0)))</f>
        <v/>
      </c>
      <c r="U308" s="34" t="str">
        <f>IF(OR($Q308="",$R308=""),"",MAX(0,ROUND(($R308-$Q308)*1440,0)))</f>
        <v/>
      </c>
      <c r="V308" s="35" t="str">
        <f>IF($A308="","",IF($O308="No-show","Sim","Não"))</f>
        <v/>
      </c>
      <c r="W308" s="32"/>
    </row>
    <row r="309" spans="1:23" x14ac:dyDescent="0.25">
      <c r="A309" s="24"/>
      <c r="B309" s="25"/>
      <c r="C309" s="26"/>
      <c r="D309" s="24"/>
      <c r="E309" s="24"/>
      <c r="F309" s="24"/>
      <c r="G309" s="24"/>
      <c r="H309" s="24"/>
      <c r="I309" s="24"/>
      <c r="J309" s="27"/>
      <c r="K309" s="24"/>
      <c r="L309" s="24"/>
      <c r="M309" s="24"/>
      <c r="N309" s="24"/>
      <c r="O309" s="24"/>
      <c r="P309" s="26"/>
      <c r="Q309" s="26"/>
      <c r="R309" s="26"/>
      <c r="S309" s="34" t="str">
        <f>IF(OR($C309="",$P309=""),"",MAX(0,ROUND(($P309-$C309)*1440,0)))</f>
        <v/>
      </c>
      <c r="T309" s="34" t="str">
        <f>IF(OR($P309="",$Q309=""),"",MAX(0,ROUND(($Q309-$P309)*1440,0)))</f>
        <v/>
      </c>
      <c r="U309" s="34" t="str">
        <f>IF(OR($Q309="",$R309=""),"",MAX(0,ROUND(($R309-$Q309)*1440,0)))</f>
        <v/>
      </c>
      <c r="V309" s="35" t="str">
        <f>IF($A309="","",IF($O309="No-show","Sim","Não"))</f>
        <v/>
      </c>
      <c r="W309" s="32"/>
    </row>
    <row r="310" spans="1:23" x14ac:dyDescent="0.25">
      <c r="A310" s="24"/>
      <c r="B310" s="25"/>
      <c r="C310" s="26"/>
      <c r="D310" s="24"/>
      <c r="E310" s="24"/>
      <c r="F310" s="24"/>
      <c r="G310" s="24"/>
      <c r="H310" s="24"/>
      <c r="I310" s="24"/>
      <c r="J310" s="27"/>
      <c r="K310" s="24"/>
      <c r="L310" s="24"/>
      <c r="M310" s="24"/>
      <c r="N310" s="24"/>
      <c r="O310" s="24"/>
      <c r="P310" s="26"/>
      <c r="Q310" s="26"/>
      <c r="R310" s="26"/>
      <c r="S310" s="34" t="str">
        <f>IF(OR($C310="",$P310=""),"",MAX(0,ROUND(($P310-$C310)*1440,0)))</f>
        <v/>
      </c>
      <c r="T310" s="34" t="str">
        <f>IF(OR($P310="",$Q310=""),"",MAX(0,ROUND(($Q310-$P310)*1440,0)))</f>
        <v/>
      </c>
      <c r="U310" s="34" t="str">
        <f>IF(OR($Q310="",$R310=""),"",MAX(0,ROUND(($R310-$Q310)*1440,0)))</f>
        <v/>
      </c>
      <c r="V310" s="35" t="str">
        <f>IF($A310="","",IF($O310="No-show","Sim","Não"))</f>
        <v/>
      </c>
      <c r="W310" s="32"/>
    </row>
    <row r="311" spans="1:23" x14ac:dyDescent="0.25">
      <c r="A311" s="24"/>
      <c r="B311" s="25"/>
      <c r="C311" s="26"/>
      <c r="D311" s="24"/>
      <c r="E311" s="24"/>
      <c r="F311" s="24"/>
      <c r="G311" s="24"/>
      <c r="H311" s="24"/>
      <c r="I311" s="24"/>
      <c r="J311" s="27"/>
      <c r="K311" s="24"/>
      <c r="L311" s="24"/>
      <c r="M311" s="24"/>
      <c r="N311" s="24"/>
      <c r="O311" s="24"/>
      <c r="P311" s="26"/>
      <c r="Q311" s="26"/>
      <c r="R311" s="26"/>
      <c r="S311" s="34" t="str">
        <f>IF(OR($C311="",$P311=""),"",MAX(0,ROUND(($P311-$C311)*1440,0)))</f>
        <v/>
      </c>
      <c r="T311" s="34" t="str">
        <f>IF(OR($P311="",$Q311=""),"",MAX(0,ROUND(($Q311-$P311)*1440,0)))</f>
        <v/>
      </c>
      <c r="U311" s="34" t="str">
        <f>IF(OR($Q311="",$R311=""),"",MAX(0,ROUND(($R311-$Q311)*1440,0)))</f>
        <v/>
      </c>
      <c r="V311" s="35" t="str">
        <f>IF($A311="","",IF($O311="No-show","Sim","Não"))</f>
        <v/>
      </c>
      <c r="W311" s="32"/>
    </row>
    <row r="312" spans="1:23" x14ac:dyDescent="0.25">
      <c r="A312" s="24"/>
      <c r="B312" s="25"/>
      <c r="C312" s="26"/>
      <c r="D312" s="24"/>
      <c r="E312" s="24"/>
      <c r="F312" s="24"/>
      <c r="G312" s="24"/>
      <c r="H312" s="24"/>
      <c r="I312" s="24"/>
      <c r="J312" s="27"/>
      <c r="K312" s="24"/>
      <c r="L312" s="24"/>
      <c r="M312" s="24"/>
      <c r="N312" s="24"/>
      <c r="O312" s="24"/>
      <c r="P312" s="26"/>
      <c r="Q312" s="26"/>
      <c r="R312" s="26"/>
      <c r="S312" s="34" t="str">
        <f>IF(OR($C312="",$P312=""),"",MAX(0,ROUND(($P312-$C312)*1440,0)))</f>
        <v/>
      </c>
      <c r="T312" s="34" t="str">
        <f>IF(OR($P312="",$Q312=""),"",MAX(0,ROUND(($Q312-$P312)*1440,0)))</f>
        <v/>
      </c>
      <c r="U312" s="34" t="str">
        <f>IF(OR($Q312="",$R312=""),"",MAX(0,ROUND(($R312-$Q312)*1440,0)))</f>
        <v/>
      </c>
      <c r="V312" s="35" t="str">
        <f>IF($A312="","",IF($O312="No-show","Sim","Não"))</f>
        <v/>
      </c>
      <c r="W312" s="32"/>
    </row>
    <row r="313" spans="1:23" x14ac:dyDescent="0.25">
      <c r="A313" s="24"/>
      <c r="B313" s="25"/>
      <c r="C313" s="26"/>
      <c r="D313" s="24"/>
      <c r="E313" s="24"/>
      <c r="F313" s="24"/>
      <c r="G313" s="24"/>
      <c r="H313" s="24"/>
      <c r="I313" s="24"/>
      <c r="J313" s="27"/>
      <c r="K313" s="24"/>
      <c r="L313" s="24"/>
      <c r="M313" s="24"/>
      <c r="N313" s="24"/>
      <c r="O313" s="24"/>
      <c r="P313" s="26"/>
      <c r="Q313" s="26"/>
      <c r="R313" s="26"/>
      <c r="S313" s="34" t="str">
        <f>IF(OR($C313="",$P313=""),"",MAX(0,ROUND(($P313-$C313)*1440,0)))</f>
        <v/>
      </c>
      <c r="T313" s="34" t="str">
        <f>IF(OR($P313="",$Q313=""),"",MAX(0,ROUND(($Q313-$P313)*1440,0)))</f>
        <v/>
      </c>
      <c r="U313" s="34" t="str">
        <f>IF(OR($Q313="",$R313=""),"",MAX(0,ROUND(($R313-$Q313)*1440,0)))</f>
        <v/>
      </c>
      <c r="V313" s="35" t="str">
        <f>IF($A313="","",IF($O313="No-show","Sim","Não"))</f>
        <v/>
      </c>
      <c r="W313" s="32"/>
    </row>
    <row r="314" spans="1:23" x14ac:dyDescent="0.25">
      <c r="A314" s="24"/>
      <c r="B314" s="25"/>
      <c r="C314" s="26"/>
      <c r="D314" s="24"/>
      <c r="E314" s="24"/>
      <c r="F314" s="24"/>
      <c r="G314" s="24"/>
      <c r="H314" s="24"/>
      <c r="I314" s="24"/>
      <c r="J314" s="27"/>
      <c r="K314" s="24"/>
      <c r="L314" s="24"/>
      <c r="M314" s="24"/>
      <c r="N314" s="24"/>
      <c r="O314" s="24"/>
      <c r="P314" s="26"/>
      <c r="Q314" s="26"/>
      <c r="R314" s="26"/>
      <c r="S314" s="34" t="str">
        <f>IF(OR($C314="",$P314=""),"",MAX(0,ROUND(($P314-$C314)*1440,0)))</f>
        <v/>
      </c>
      <c r="T314" s="34" t="str">
        <f>IF(OR($P314="",$Q314=""),"",MAX(0,ROUND(($Q314-$P314)*1440,0)))</f>
        <v/>
      </c>
      <c r="U314" s="34" t="str">
        <f>IF(OR($Q314="",$R314=""),"",MAX(0,ROUND(($R314-$Q314)*1440,0)))</f>
        <v/>
      </c>
      <c r="V314" s="35" t="str">
        <f>IF($A314="","",IF($O314="No-show","Sim","Não"))</f>
        <v/>
      </c>
      <c r="W314" s="32"/>
    </row>
    <row r="315" spans="1:23" x14ac:dyDescent="0.25">
      <c r="A315" s="24"/>
      <c r="B315" s="25"/>
      <c r="C315" s="26"/>
      <c r="D315" s="24"/>
      <c r="E315" s="24"/>
      <c r="F315" s="24"/>
      <c r="G315" s="24"/>
      <c r="H315" s="24"/>
      <c r="I315" s="24"/>
      <c r="J315" s="27"/>
      <c r="K315" s="24"/>
      <c r="L315" s="24"/>
      <c r="M315" s="24"/>
      <c r="N315" s="24"/>
      <c r="O315" s="24"/>
      <c r="P315" s="26"/>
      <c r="Q315" s="26"/>
      <c r="R315" s="26"/>
      <c r="S315" s="34" t="str">
        <f>IF(OR($C315="",$P315=""),"",MAX(0,ROUND(($P315-$C315)*1440,0)))</f>
        <v/>
      </c>
      <c r="T315" s="34" t="str">
        <f>IF(OR($P315="",$Q315=""),"",MAX(0,ROUND(($Q315-$P315)*1440,0)))</f>
        <v/>
      </c>
      <c r="U315" s="34" t="str">
        <f>IF(OR($Q315="",$R315=""),"",MAX(0,ROUND(($R315-$Q315)*1440,0)))</f>
        <v/>
      </c>
      <c r="V315" s="35" t="str">
        <f>IF($A315="","",IF($O315="No-show","Sim","Não"))</f>
        <v/>
      </c>
      <c r="W315" s="32"/>
    </row>
    <row r="316" spans="1:23" x14ac:dyDescent="0.25">
      <c r="A316" s="24"/>
      <c r="B316" s="25"/>
      <c r="C316" s="26"/>
      <c r="D316" s="24"/>
      <c r="E316" s="24"/>
      <c r="F316" s="24"/>
      <c r="G316" s="24"/>
      <c r="H316" s="24"/>
      <c r="I316" s="24"/>
      <c r="J316" s="27"/>
      <c r="K316" s="24"/>
      <c r="L316" s="24"/>
      <c r="M316" s="24"/>
      <c r="N316" s="24"/>
      <c r="O316" s="24"/>
      <c r="P316" s="26"/>
      <c r="Q316" s="26"/>
      <c r="R316" s="26"/>
      <c r="S316" s="34" t="str">
        <f>IF(OR($C316="",$P316=""),"",MAX(0,ROUND(($P316-$C316)*1440,0)))</f>
        <v/>
      </c>
      <c r="T316" s="34" t="str">
        <f>IF(OR($P316="",$Q316=""),"",MAX(0,ROUND(($Q316-$P316)*1440,0)))</f>
        <v/>
      </c>
      <c r="U316" s="34" t="str">
        <f>IF(OR($Q316="",$R316=""),"",MAX(0,ROUND(($R316-$Q316)*1440,0)))</f>
        <v/>
      </c>
      <c r="V316" s="35" t="str">
        <f>IF($A316="","",IF($O316="No-show","Sim","Não"))</f>
        <v/>
      </c>
      <c r="W316" s="32"/>
    </row>
    <row r="317" spans="1:23" x14ac:dyDescent="0.25">
      <c r="A317" s="24"/>
      <c r="B317" s="25"/>
      <c r="C317" s="26"/>
      <c r="D317" s="24"/>
      <c r="E317" s="24"/>
      <c r="F317" s="24"/>
      <c r="G317" s="24"/>
      <c r="H317" s="24"/>
      <c r="I317" s="24"/>
      <c r="J317" s="27"/>
      <c r="K317" s="24"/>
      <c r="L317" s="24"/>
      <c r="M317" s="24"/>
      <c r="N317" s="24"/>
      <c r="O317" s="24"/>
      <c r="P317" s="26"/>
      <c r="Q317" s="26"/>
      <c r="R317" s="26"/>
      <c r="S317" s="34" t="str">
        <f>IF(OR($C317="",$P317=""),"",MAX(0,ROUND(($P317-$C317)*1440,0)))</f>
        <v/>
      </c>
      <c r="T317" s="34" t="str">
        <f>IF(OR($P317="",$Q317=""),"",MAX(0,ROUND(($Q317-$P317)*1440,0)))</f>
        <v/>
      </c>
      <c r="U317" s="34" t="str">
        <f>IF(OR($Q317="",$R317=""),"",MAX(0,ROUND(($R317-$Q317)*1440,0)))</f>
        <v/>
      </c>
      <c r="V317" s="35" t="str">
        <f>IF($A317="","",IF($O317="No-show","Sim","Não"))</f>
        <v/>
      </c>
      <c r="W317" s="32"/>
    </row>
    <row r="318" spans="1:23" x14ac:dyDescent="0.25">
      <c r="A318" s="24"/>
      <c r="B318" s="25"/>
      <c r="C318" s="26"/>
      <c r="D318" s="24"/>
      <c r="E318" s="24"/>
      <c r="F318" s="24"/>
      <c r="G318" s="24"/>
      <c r="H318" s="24"/>
      <c r="I318" s="24"/>
      <c r="J318" s="27"/>
      <c r="K318" s="24"/>
      <c r="L318" s="24"/>
      <c r="M318" s="24"/>
      <c r="N318" s="24"/>
      <c r="O318" s="24"/>
      <c r="P318" s="26"/>
      <c r="Q318" s="26"/>
      <c r="R318" s="26"/>
      <c r="S318" s="34" t="str">
        <f>IF(OR($C318="",$P318=""),"",MAX(0,ROUND(($P318-$C318)*1440,0)))</f>
        <v/>
      </c>
      <c r="T318" s="34" t="str">
        <f>IF(OR($P318="",$Q318=""),"",MAX(0,ROUND(($Q318-$P318)*1440,0)))</f>
        <v/>
      </c>
      <c r="U318" s="34" t="str">
        <f>IF(OR($Q318="",$R318=""),"",MAX(0,ROUND(($R318-$Q318)*1440,0)))</f>
        <v/>
      </c>
      <c r="V318" s="35" t="str">
        <f>IF($A318="","",IF($O318="No-show","Sim","Não"))</f>
        <v/>
      </c>
      <c r="W318" s="32"/>
    </row>
    <row r="319" spans="1:23" x14ac:dyDescent="0.25">
      <c r="A319" s="24"/>
      <c r="B319" s="25"/>
      <c r="C319" s="26"/>
      <c r="D319" s="24"/>
      <c r="E319" s="24"/>
      <c r="F319" s="24"/>
      <c r="G319" s="24"/>
      <c r="H319" s="24"/>
      <c r="I319" s="24"/>
      <c r="J319" s="27"/>
      <c r="K319" s="24"/>
      <c r="L319" s="24"/>
      <c r="M319" s="24"/>
      <c r="N319" s="24"/>
      <c r="O319" s="24"/>
      <c r="P319" s="26"/>
      <c r="Q319" s="26"/>
      <c r="R319" s="26"/>
      <c r="S319" s="34" t="str">
        <f>IF(OR($C319="",$P319=""),"",MAX(0,ROUND(($P319-$C319)*1440,0)))</f>
        <v/>
      </c>
      <c r="T319" s="34" t="str">
        <f>IF(OR($P319="",$Q319=""),"",MAX(0,ROUND(($Q319-$P319)*1440,0)))</f>
        <v/>
      </c>
      <c r="U319" s="34" t="str">
        <f>IF(OR($Q319="",$R319=""),"",MAX(0,ROUND(($R319-$Q319)*1440,0)))</f>
        <v/>
      </c>
      <c r="V319" s="35" t="str">
        <f>IF($A319="","",IF($O319="No-show","Sim","Não"))</f>
        <v/>
      </c>
      <c r="W319" s="32"/>
    </row>
    <row r="320" spans="1:23" x14ac:dyDescent="0.25">
      <c r="A320" s="24"/>
      <c r="B320" s="25"/>
      <c r="C320" s="26"/>
      <c r="D320" s="24"/>
      <c r="E320" s="24"/>
      <c r="F320" s="24"/>
      <c r="G320" s="24"/>
      <c r="H320" s="24"/>
      <c r="I320" s="24"/>
      <c r="J320" s="27"/>
      <c r="K320" s="24"/>
      <c r="L320" s="24"/>
      <c r="M320" s="24"/>
      <c r="N320" s="24"/>
      <c r="O320" s="24"/>
      <c r="P320" s="26"/>
      <c r="Q320" s="26"/>
      <c r="R320" s="26"/>
      <c r="S320" s="34" t="str">
        <f>IF(OR($C320="",$P320=""),"",MAX(0,ROUND(($P320-$C320)*1440,0)))</f>
        <v/>
      </c>
      <c r="T320" s="34" t="str">
        <f>IF(OR($P320="",$Q320=""),"",MAX(0,ROUND(($Q320-$P320)*1440,0)))</f>
        <v/>
      </c>
      <c r="U320" s="34" t="str">
        <f>IF(OR($Q320="",$R320=""),"",MAX(0,ROUND(($R320-$Q320)*1440,0)))</f>
        <v/>
      </c>
      <c r="V320" s="35" t="str">
        <f>IF($A320="","",IF($O320="No-show","Sim","Não"))</f>
        <v/>
      </c>
      <c r="W320" s="32"/>
    </row>
    <row r="321" spans="1:23" x14ac:dyDescent="0.25">
      <c r="A321" s="24"/>
      <c r="B321" s="25"/>
      <c r="C321" s="26"/>
      <c r="D321" s="24"/>
      <c r="E321" s="24"/>
      <c r="F321" s="24"/>
      <c r="G321" s="24"/>
      <c r="H321" s="24"/>
      <c r="I321" s="24"/>
      <c r="J321" s="27"/>
      <c r="K321" s="24"/>
      <c r="L321" s="24"/>
      <c r="M321" s="24"/>
      <c r="N321" s="24"/>
      <c r="O321" s="24"/>
      <c r="P321" s="26"/>
      <c r="Q321" s="26"/>
      <c r="R321" s="26"/>
      <c r="S321" s="34" t="str">
        <f>IF(OR($C321="",$P321=""),"",MAX(0,ROUND(($P321-$C321)*1440,0)))</f>
        <v/>
      </c>
      <c r="T321" s="34" t="str">
        <f>IF(OR($P321="",$Q321=""),"",MAX(0,ROUND(($Q321-$P321)*1440,0)))</f>
        <v/>
      </c>
      <c r="U321" s="34" t="str">
        <f>IF(OR($Q321="",$R321=""),"",MAX(0,ROUND(($R321-$Q321)*1440,0)))</f>
        <v/>
      </c>
      <c r="V321" s="35" t="str">
        <f>IF($A321="","",IF($O321="No-show","Sim","Não"))</f>
        <v/>
      </c>
      <c r="W321" s="32"/>
    </row>
    <row r="322" spans="1:23" x14ac:dyDescent="0.25">
      <c r="A322" s="24"/>
      <c r="B322" s="25"/>
      <c r="C322" s="26"/>
      <c r="D322" s="24"/>
      <c r="E322" s="24"/>
      <c r="F322" s="24"/>
      <c r="G322" s="24"/>
      <c r="H322" s="24"/>
      <c r="I322" s="24"/>
      <c r="J322" s="27"/>
      <c r="K322" s="24"/>
      <c r="L322" s="24"/>
      <c r="M322" s="24"/>
      <c r="N322" s="24"/>
      <c r="O322" s="24"/>
      <c r="P322" s="26"/>
      <c r="Q322" s="26"/>
      <c r="R322" s="26"/>
      <c r="S322" s="34" t="str">
        <f>IF(OR($C322="",$P322=""),"",MAX(0,ROUND(($P322-$C322)*1440,0)))</f>
        <v/>
      </c>
      <c r="T322" s="34" t="str">
        <f>IF(OR($P322="",$Q322=""),"",MAX(0,ROUND(($Q322-$P322)*1440,0)))</f>
        <v/>
      </c>
      <c r="U322" s="34" t="str">
        <f>IF(OR($Q322="",$R322=""),"",MAX(0,ROUND(($R322-$Q322)*1440,0)))</f>
        <v/>
      </c>
      <c r="V322" s="35" t="str">
        <f>IF($A322="","",IF($O322="No-show","Sim","Não"))</f>
        <v/>
      </c>
      <c r="W322" s="32"/>
    </row>
    <row r="323" spans="1:23" x14ac:dyDescent="0.25">
      <c r="A323" s="24"/>
      <c r="B323" s="25"/>
      <c r="C323" s="26"/>
      <c r="D323" s="24"/>
      <c r="E323" s="24"/>
      <c r="F323" s="24"/>
      <c r="G323" s="24"/>
      <c r="H323" s="24"/>
      <c r="I323" s="24"/>
      <c r="J323" s="27"/>
      <c r="K323" s="24"/>
      <c r="L323" s="24"/>
      <c r="M323" s="24"/>
      <c r="N323" s="24"/>
      <c r="O323" s="24"/>
      <c r="P323" s="26"/>
      <c r="Q323" s="26"/>
      <c r="R323" s="26"/>
      <c r="S323" s="34" t="str">
        <f>IF(OR($C323="",$P323=""),"",MAX(0,ROUND(($P323-$C323)*1440,0)))</f>
        <v/>
      </c>
      <c r="T323" s="34" t="str">
        <f>IF(OR($P323="",$Q323=""),"",MAX(0,ROUND(($Q323-$P323)*1440,0)))</f>
        <v/>
      </c>
      <c r="U323" s="34" t="str">
        <f>IF(OR($Q323="",$R323=""),"",MAX(0,ROUND(($R323-$Q323)*1440,0)))</f>
        <v/>
      </c>
      <c r="V323" s="35" t="str">
        <f>IF($A323="","",IF($O323="No-show","Sim","Não"))</f>
        <v/>
      </c>
      <c r="W323" s="32"/>
    </row>
    <row r="324" spans="1:23" x14ac:dyDescent="0.25">
      <c r="A324" s="24"/>
      <c r="B324" s="25"/>
      <c r="C324" s="26"/>
      <c r="D324" s="24"/>
      <c r="E324" s="24"/>
      <c r="F324" s="24"/>
      <c r="G324" s="24"/>
      <c r="H324" s="24"/>
      <c r="I324" s="24"/>
      <c r="J324" s="27"/>
      <c r="K324" s="24"/>
      <c r="L324" s="24"/>
      <c r="M324" s="24"/>
      <c r="N324" s="24"/>
      <c r="O324" s="24"/>
      <c r="P324" s="26"/>
      <c r="Q324" s="26"/>
      <c r="R324" s="26"/>
      <c r="S324" s="34" t="str">
        <f>IF(OR($C324="",$P324=""),"",MAX(0,ROUND(($P324-$C324)*1440,0)))</f>
        <v/>
      </c>
      <c r="T324" s="34" t="str">
        <f>IF(OR($P324="",$Q324=""),"",MAX(0,ROUND(($Q324-$P324)*1440,0)))</f>
        <v/>
      </c>
      <c r="U324" s="34" t="str">
        <f>IF(OR($Q324="",$R324=""),"",MAX(0,ROUND(($R324-$Q324)*1440,0)))</f>
        <v/>
      </c>
      <c r="V324" s="35" t="str">
        <f>IF($A324="","",IF($O324="No-show","Sim","Não"))</f>
        <v/>
      </c>
      <c r="W324" s="32"/>
    </row>
    <row r="325" spans="1:23" x14ac:dyDescent="0.25">
      <c r="A325" s="24"/>
      <c r="B325" s="25"/>
      <c r="C325" s="26"/>
      <c r="D325" s="24"/>
      <c r="E325" s="24"/>
      <c r="F325" s="24"/>
      <c r="G325" s="24"/>
      <c r="H325" s="24"/>
      <c r="I325" s="24"/>
      <c r="J325" s="27"/>
      <c r="K325" s="24"/>
      <c r="L325" s="24"/>
      <c r="M325" s="24"/>
      <c r="N325" s="24"/>
      <c r="O325" s="24"/>
      <c r="P325" s="26"/>
      <c r="Q325" s="26"/>
      <c r="R325" s="26"/>
      <c r="S325" s="34" t="str">
        <f>IF(OR($C325="",$P325=""),"",MAX(0,ROUND(($P325-$C325)*1440,0)))</f>
        <v/>
      </c>
      <c r="T325" s="34" t="str">
        <f>IF(OR($P325="",$Q325=""),"",MAX(0,ROUND(($Q325-$P325)*1440,0)))</f>
        <v/>
      </c>
      <c r="U325" s="34" t="str">
        <f>IF(OR($Q325="",$R325=""),"",MAX(0,ROUND(($R325-$Q325)*1440,0)))</f>
        <v/>
      </c>
      <c r="V325" s="35" t="str">
        <f>IF($A325="","",IF($O325="No-show","Sim","Não"))</f>
        <v/>
      </c>
      <c r="W325" s="32"/>
    </row>
    <row r="326" spans="1:23" x14ac:dyDescent="0.25">
      <c r="A326" s="24"/>
      <c r="B326" s="25"/>
      <c r="C326" s="26"/>
      <c r="D326" s="24"/>
      <c r="E326" s="24"/>
      <c r="F326" s="24"/>
      <c r="G326" s="24"/>
      <c r="H326" s="24"/>
      <c r="I326" s="24"/>
      <c r="J326" s="27"/>
      <c r="K326" s="24"/>
      <c r="L326" s="24"/>
      <c r="M326" s="24"/>
      <c r="N326" s="24"/>
      <c r="O326" s="24"/>
      <c r="P326" s="26"/>
      <c r="Q326" s="26"/>
      <c r="R326" s="26"/>
      <c r="S326" s="34" t="str">
        <f>IF(OR($C326="",$P326=""),"",MAX(0,ROUND(($P326-$C326)*1440,0)))</f>
        <v/>
      </c>
      <c r="T326" s="34" t="str">
        <f>IF(OR($P326="",$Q326=""),"",MAX(0,ROUND(($Q326-$P326)*1440,0)))</f>
        <v/>
      </c>
      <c r="U326" s="34" t="str">
        <f>IF(OR($Q326="",$R326=""),"",MAX(0,ROUND(($R326-$Q326)*1440,0)))</f>
        <v/>
      </c>
      <c r="V326" s="35" t="str">
        <f>IF($A326="","",IF($O326="No-show","Sim","Não"))</f>
        <v/>
      </c>
      <c r="W326" s="32"/>
    </row>
    <row r="327" spans="1:23" x14ac:dyDescent="0.25">
      <c r="A327" s="24"/>
      <c r="B327" s="25"/>
      <c r="C327" s="26"/>
      <c r="D327" s="24"/>
      <c r="E327" s="24"/>
      <c r="F327" s="24"/>
      <c r="G327" s="24"/>
      <c r="H327" s="24"/>
      <c r="I327" s="24"/>
      <c r="J327" s="27"/>
      <c r="K327" s="24"/>
      <c r="L327" s="24"/>
      <c r="M327" s="24"/>
      <c r="N327" s="24"/>
      <c r="O327" s="24"/>
      <c r="P327" s="26"/>
      <c r="Q327" s="26"/>
      <c r="R327" s="26"/>
      <c r="S327" s="34" t="str">
        <f>IF(OR($C327="",$P327=""),"",MAX(0,ROUND(($P327-$C327)*1440,0)))</f>
        <v/>
      </c>
      <c r="T327" s="34" t="str">
        <f>IF(OR($P327="",$Q327=""),"",MAX(0,ROUND(($Q327-$P327)*1440,0)))</f>
        <v/>
      </c>
      <c r="U327" s="34" t="str">
        <f>IF(OR($Q327="",$R327=""),"",MAX(0,ROUND(($R327-$Q327)*1440,0)))</f>
        <v/>
      </c>
      <c r="V327" s="35" t="str">
        <f>IF($A327="","",IF($O327="No-show","Sim","Não"))</f>
        <v/>
      </c>
      <c r="W327" s="32"/>
    </row>
    <row r="328" spans="1:23" x14ac:dyDescent="0.25">
      <c r="A328" s="24"/>
      <c r="B328" s="25"/>
      <c r="C328" s="26"/>
      <c r="D328" s="24"/>
      <c r="E328" s="24"/>
      <c r="F328" s="24"/>
      <c r="G328" s="24"/>
      <c r="H328" s="24"/>
      <c r="I328" s="24"/>
      <c r="J328" s="27"/>
      <c r="K328" s="24"/>
      <c r="L328" s="24"/>
      <c r="M328" s="24"/>
      <c r="N328" s="24"/>
      <c r="O328" s="24"/>
      <c r="P328" s="26"/>
      <c r="Q328" s="26"/>
      <c r="R328" s="26"/>
      <c r="S328" s="34" t="str">
        <f>IF(OR($C328="",$P328=""),"",MAX(0,ROUND(($P328-$C328)*1440,0)))</f>
        <v/>
      </c>
      <c r="T328" s="34" t="str">
        <f>IF(OR($P328="",$Q328=""),"",MAX(0,ROUND(($Q328-$P328)*1440,0)))</f>
        <v/>
      </c>
      <c r="U328" s="34" t="str">
        <f>IF(OR($Q328="",$R328=""),"",MAX(0,ROUND(($R328-$Q328)*1440,0)))</f>
        <v/>
      </c>
      <c r="V328" s="35" t="str">
        <f>IF($A328="","",IF($O328="No-show","Sim","Não"))</f>
        <v/>
      </c>
      <c r="W328" s="32"/>
    </row>
    <row r="329" spans="1:23" x14ac:dyDescent="0.25">
      <c r="A329" s="24"/>
      <c r="B329" s="25"/>
      <c r="C329" s="26"/>
      <c r="D329" s="24"/>
      <c r="E329" s="24"/>
      <c r="F329" s="24"/>
      <c r="G329" s="24"/>
      <c r="H329" s="24"/>
      <c r="I329" s="24"/>
      <c r="J329" s="27"/>
      <c r="K329" s="24"/>
      <c r="L329" s="24"/>
      <c r="M329" s="24"/>
      <c r="N329" s="24"/>
      <c r="O329" s="24"/>
      <c r="P329" s="26"/>
      <c r="Q329" s="26"/>
      <c r="R329" s="26"/>
      <c r="S329" s="34" t="str">
        <f>IF(OR($C329="",$P329=""),"",MAX(0,ROUND(($P329-$C329)*1440,0)))</f>
        <v/>
      </c>
      <c r="T329" s="34" t="str">
        <f>IF(OR($P329="",$Q329=""),"",MAX(0,ROUND(($Q329-$P329)*1440,0)))</f>
        <v/>
      </c>
      <c r="U329" s="34" t="str">
        <f>IF(OR($Q329="",$R329=""),"",MAX(0,ROUND(($R329-$Q329)*1440,0)))</f>
        <v/>
      </c>
      <c r="V329" s="35" t="str">
        <f>IF($A329="","",IF($O329="No-show","Sim","Não"))</f>
        <v/>
      </c>
      <c r="W329" s="32"/>
    </row>
    <row r="330" spans="1:23" x14ac:dyDescent="0.25">
      <c r="A330" s="24"/>
      <c r="B330" s="25"/>
      <c r="C330" s="26"/>
      <c r="D330" s="24"/>
      <c r="E330" s="24"/>
      <c r="F330" s="24"/>
      <c r="G330" s="24"/>
      <c r="H330" s="24"/>
      <c r="I330" s="24"/>
      <c r="J330" s="27"/>
      <c r="K330" s="24"/>
      <c r="L330" s="24"/>
      <c r="M330" s="24"/>
      <c r="N330" s="24"/>
      <c r="O330" s="24"/>
      <c r="P330" s="26"/>
      <c r="Q330" s="26"/>
      <c r="R330" s="26"/>
      <c r="S330" s="34" t="str">
        <f>IF(OR($C330="",$P330=""),"",MAX(0,ROUND(($P330-$C330)*1440,0)))</f>
        <v/>
      </c>
      <c r="T330" s="34" t="str">
        <f>IF(OR($P330="",$Q330=""),"",MAX(0,ROUND(($Q330-$P330)*1440,0)))</f>
        <v/>
      </c>
      <c r="U330" s="34" t="str">
        <f>IF(OR($Q330="",$R330=""),"",MAX(0,ROUND(($R330-$Q330)*1440,0)))</f>
        <v/>
      </c>
      <c r="V330" s="35" t="str">
        <f>IF($A330="","",IF($O330="No-show","Sim","Não"))</f>
        <v/>
      </c>
      <c r="W330" s="32"/>
    </row>
    <row r="331" spans="1:23" x14ac:dyDescent="0.25">
      <c r="A331" s="24"/>
      <c r="B331" s="25"/>
      <c r="C331" s="26"/>
      <c r="D331" s="24"/>
      <c r="E331" s="24"/>
      <c r="F331" s="24"/>
      <c r="G331" s="24"/>
      <c r="H331" s="24"/>
      <c r="I331" s="24"/>
      <c r="J331" s="27"/>
      <c r="K331" s="24"/>
      <c r="L331" s="24"/>
      <c r="M331" s="24"/>
      <c r="N331" s="24"/>
      <c r="O331" s="24"/>
      <c r="P331" s="26"/>
      <c r="Q331" s="26"/>
      <c r="R331" s="26"/>
      <c r="S331" s="34" t="str">
        <f>IF(OR($C331="",$P331=""),"",MAX(0,ROUND(($P331-$C331)*1440,0)))</f>
        <v/>
      </c>
      <c r="T331" s="34" t="str">
        <f>IF(OR($P331="",$Q331=""),"",MAX(0,ROUND(($Q331-$P331)*1440,0)))</f>
        <v/>
      </c>
      <c r="U331" s="34" t="str">
        <f>IF(OR($Q331="",$R331=""),"",MAX(0,ROUND(($R331-$Q331)*1440,0)))</f>
        <v/>
      </c>
      <c r="V331" s="35" t="str">
        <f>IF($A331="","",IF($O331="No-show","Sim","Não"))</f>
        <v/>
      </c>
      <c r="W331" s="32"/>
    </row>
    <row r="332" spans="1:23" x14ac:dyDescent="0.25">
      <c r="A332" s="24"/>
      <c r="B332" s="25"/>
      <c r="C332" s="26"/>
      <c r="D332" s="24"/>
      <c r="E332" s="24"/>
      <c r="F332" s="24"/>
      <c r="G332" s="24"/>
      <c r="H332" s="24"/>
      <c r="I332" s="24"/>
      <c r="J332" s="27"/>
      <c r="K332" s="24"/>
      <c r="L332" s="24"/>
      <c r="M332" s="24"/>
      <c r="N332" s="24"/>
      <c r="O332" s="24"/>
      <c r="P332" s="26"/>
      <c r="Q332" s="26"/>
      <c r="R332" s="26"/>
      <c r="S332" s="34" t="str">
        <f>IF(OR($C332="",$P332=""),"",MAX(0,ROUND(($P332-$C332)*1440,0)))</f>
        <v/>
      </c>
      <c r="T332" s="34" t="str">
        <f>IF(OR($P332="",$Q332=""),"",MAX(0,ROUND(($Q332-$P332)*1440,0)))</f>
        <v/>
      </c>
      <c r="U332" s="34" t="str">
        <f>IF(OR($Q332="",$R332=""),"",MAX(0,ROUND(($R332-$Q332)*1440,0)))</f>
        <v/>
      </c>
      <c r="V332" s="35" t="str">
        <f>IF($A332="","",IF($O332="No-show","Sim","Não"))</f>
        <v/>
      </c>
      <c r="W332" s="32"/>
    </row>
    <row r="333" spans="1:23" x14ac:dyDescent="0.25">
      <c r="A333" s="24"/>
      <c r="B333" s="25"/>
      <c r="C333" s="26"/>
      <c r="D333" s="24"/>
      <c r="E333" s="24"/>
      <c r="F333" s="24"/>
      <c r="G333" s="24"/>
      <c r="H333" s="24"/>
      <c r="I333" s="24"/>
      <c r="J333" s="27"/>
      <c r="K333" s="24"/>
      <c r="L333" s="24"/>
      <c r="M333" s="24"/>
      <c r="N333" s="24"/>
      <c r="O333" s="24"/>
      <c r="P333" s="26"/>
      <c r="Q333" s="26"/>
      <c r="R333" s="26"/>
      <c r="S333" s="34" t="str">
        <f>IF(OR($C333="",$P333=""),"",MAX(0,ROUND(($P333-$C333)*1440,0)))</f>
        <v/>
      </c>
      <c r="T333" s="34" t="str">
        <f>IF(OR($P333="",$Q333=""),"",MAX(0,ROUND(($Q333-$P333)*1440,0)))</f>
        <v/>
      </c>
      <c r="U333" s="34" t="str">
        <f>IF(OR($Q333="",$R333=""),"",MAX(0,ROUND(($R333-$Q333)*1440,0)))</f>
        <v/>
      </c>
      <c r="V333" s="35" t="str">
        <f>IF($A333="","",IF($O333="No-show","Sim","Não"))</f>
        <v/>
      </c>
      <c r="W333" s="32"/>
    </row>
    <row r="334" spans="1:23" x14ac:dyDescent="0.25">
      <c r="A334" s="24"/>
      <c r="B334" s="25"/>
      <c r="C334" s="26"/>
      <c r="D334" s="24"/>
      <c r="E334" s="24"/>
      <c r="F334" s="24"/>
      <c r="G334" s="24"/>
      <c r="H334" s="24"/>
      <c r="I334" s="24"/>
      <c r="J334" s="27"/>
      <c r="K334" s="24"/>
      <c r="L334" s="24"/>
      <c r="M334" s="24"/>
      <c r="N334" s="24"/>
      <c r="O334" s="24"/>
      <c r="P334" s="26"/>
      <c r="Q334" s="26"/>
      <c r="R334" s="26"/>
      <c r="S334" s="34" t="str">
        <f>IF(OR($C334="",$P334=""),"",MAX(0,ROUND(($P334-$C334)*1440,0)))</f>
        <v/>
      </c>
      <c r="T334" s="34" t="str">
        <f>IF(OR($P334="",$Q334=""),"",MAX(0,ROUND(($Q334-$P334)*1440,0)))</f>
        <v/>
      </c>
      <c r="U334" s="34" t="str">
        <f>IF(OR($Q334="",$R334=""),"",MAX(0,ROUND(($R334-$Q334)*1440,0)))</f>
        <v/>
      </c>
      <c r="V334" s="35" t="str">
        <f>IF($A334="","",IF($O334="No-show","Sim","Não"))</f>
        <v/>
      </c>
      <c r="W334" s="32"/>
    </row>
    <row r="335" spans="1:23" x14ac:dyDescent="0.25">
      <c r="A335" s="24"/>
      <c r="B335" s="25"/>
      <c r="C335" s="26"/>
      <c r="D335" s="24"/>
      <c r="E335" s="24"/>
      <c r="F335" s="24"/>
      <c r="G335" s="24"/>
      <c r="H335" s="24"/>
      <c r="I335" s="24"/>
      <c r="J335" s="27"/>
      <c r="K335" s="24"/>
      <c r="L335" s="24"/>
      <c r="M335" s="24"/>
      <c r="N335" s="24"/>
      <c r="O335" s="24"/>
      <c r="P335" s="26"/>
      <c r="Q335" s="26"/>
      <c r="R335" s="26"/>
      <c r="S335" s="34" t="str">
        <f>IF(OR($C335="",$P335=""),"",MAX(0,ROUND(($P335-$C335)*1440,0)))</f>
        <v/>
      </c>
      <c r="T335" s="34" t="str">
        <f>IF(OR($P335="",$Q335=""),"",MAX(0,ROUND(($Q335-$P335)*1440,0)))</f>
        <v/>
      </c>
      <c r="U335" s="34" t="str">
        <f>IF(OR($Q335="",$R335=""),"",MAX(0,ROUND(($R335-$Q335)*1440,0)))</f>
        <v/>
      </c>
      <c r="V335" s="35" t="str">
        <f>IF($A335="","",IF($O335="No-show","Sim","Não"))</f>
        <v/>
      </c>
      <c r="W335" s="32"/>
    </row>
    <row r="336" spans="1:23" x14ac:dyDescent="0.25">
      <c r="A336" s="24"/>
      <c r="B336" s="25"/>
      <c r="C336" s="26"/>
      <c r="D336" s="24"/>
      <c r="E336" s="24"/>
      <c r="F336" s="24"/>
      <c r="G336" s="24"/>
      <c r="H336" s="24"/>
      <c r="I336" s="24"/>
      <c r="J336" s="27"/>
      <c r="K336" s="24"/>
      <c r="L336" s="24"/>
      <c r="M336" s="24"/>
      <c r="N336" s="24"/>
      <c r="O336" s="24"/>
      <c r="P336" s="26"/>
      <c r="Q336" s="26"/>
      <c r="R336" s="26"/>
      <c r="S336" s="34" t="str">
        <f>IF(OR($C336="",$P336=""),"",MAX(0,ROUND(($P336-$C336)*1440,0)))</f>
        <v/>
      </c>
      <c r="T336" s="34" t="str">
        <f>IF(OR($P336="",$Q336=""),"",MAX(0,ROUND(($Q336-$P336)*1440,0)))</f>
        <v/>
      </c>
      <c r="U336" s="34" t="str">
        <f>IF(OR($Q336="",$R336=""),"",MAX(0,ROUND(($R336-$Q336)*1440,0)))</f>
        <v/>
      </c>
      <c r="V336" s="35" t="str">
        <f>IF($A336="","",IF($O336="No-show","Sim","Não"))</f>
        <v/>
      </c>
      <c r="W336" s="32"/>
    </row>
    <row r="337" spans="1:23" x14ac:dyDescent="0.25">
      <c r="A337" s="24"/>
      <c r="B337" s="25"/>
      <c r="C337" s="26"/>
      <c r="D337" s="24"/>
      <c r="E337" s="24"/>
      <c r="F337" s="24"/>
      <c r="G337" s="24"/>
      <c r="H337" s="24"/>
      <c r="I337" s="24"/>
      <c r="J337" s="27"/>
      <c r="K337" s="24"/>
      <c r="L337" s="24"/>
      <c r="M337" s="24"/>
      <c r="N337" s="24"/>
      <c r="O337" s="24"/>
      <c r="P337" s="26"/>
      <c r="Q337" s="26"/>
      <c r="R337" s="26"/>
      <c r="S337" s="34" t="str">
        <f>IF(OR($C337="",$P337=""),"",MAX(0,ROUND(($P337-$C337)*1440,0)))</f>
        <v/>
      </c>
      <c r="T337" s="34" t="str">
        <f>IF(OR($P337="",$Q337=""),"",MAX(0,ROUND(($Q337-$P337)*1440,0)))</f>
        <v/>
      </c>
      <c r="U337" s="34" t="str">
        <f>IF(OR($Q337="",$R337=""),"",MAX(0,ROUND(($R337-$Q337)*1440,0)))</f>
        <v/>
      </c>
      <c r="V337" s="35" t="str">
        <f>IF($A337="","",IF($O337="No-show","Sim","Não"))</f>
        <v/>
      </c>
      <c r="W337" s="32"/>
    </row>
    <row r="338" spans="1:23" x14ac:dyDescent="0.25">
      <c r="A338" s="24"/>
      <c r="B338" s="25"/>
      <c r="C338" s="26"/>
      <c r="D338" s="24"/>
      <c r="E338" s="24"/>
      <c r="F338" s="24"/>
      <c r="G338" s="24"/>
      <c r="H338" s="24"/>
      <c r="I338" s="24"/>
      <c r="J338" s="27"/>
      <c r="K338" s="24"/>
      <c r="L338" s="24"/>
      <c r="M338" s="24"/>
      <c r="N338" s="24"/>
      <c r="O338" s="24"/>
      <c r="P338" s="26"/>
      <c r="Q338" s="26"/>
      <c r="R338" s="26"/>
      <c r="S338" s="34" t="str">
        <f>IF(OR($C338="",$P338=""),"",MAX(0,ROUND(($P338-$C338)*1440,0)))</f>
        <v/>
      </c>
      <c r="T338" s="34" t="str">
        <f>IF(OR($P338="",$Q338=""),"",MAX(0,ROUND(($Q338-$P338)*1440,0)))</f>
        <v/>
      </c>
      <c r="U338" s="34" t="str">
        <f>IF(OR($Q338="",$R338=""),"",MAX(0,ROUND(($R338-$Q338)*1440,0)))</f>
        <v/>
      </c>
      <c r="V338" s="35" t="str">
        <f>IF($A338="","",IF($O338="No-show","Sim","Não"))</f>
        <v/>
      </c>
      <c r="W338" s="32"/>
    </row>
    <row r="339" spans="1:23" x14ac:dyDescent="0.25">
      <c r="A339" s="24"/>
      <c r="B339" s="25"/>
      <c r="C339" s="26"/>
      <c r="D339" s="24"/>
      <c r="E339" s="24"/>
      <c r="F339" s="24"/>
      <c r="G339" s="24"/>
      <c r="H339" s="24"/>
      <c r="I339" s="24"/>
      <c r="J339" s="27"/>
      <c r="K339" s="24"/>
      <c r="L339" s="24"/>
      <c r="M339" s="24"/>
      <c r="N339" s="24"/>
      <c r="O339" s="24"/>
      <c r="P339" s="26"/>
      <c r="Q339" s="26"/>
      <c r="R339" s="26"/>
      <c r="S339" s="34" t="str">
        <f>IF(OR($C339="",$P339=""),"",MAX(0,ROUND(($P339-$C339)*1440,0)))</f>
        <v/>
      </c>
      <c r="T339" s="34" t="str">
        <f>IF(OR($P339="",$Q339=""),"",MAX(0,ROUND(($Q339-$P339)*1440,0)))</f>
        <v/>
      </c>
      <c r="U339" s="34" t="str">
        <f>IF(OR($Q339="",$R339=""),"",MAX(0,ROUND(($R339-$Q339)*1440,0)))</f>
        <v/>
      </c>
      <c r="V339" s="35" t="str">
        <f>IF($A339="","",IF($O339="No-show","Sim","Não"))</f>
        <v/>
      </c>
      <c r="W339" s="32"/>
    </row>
    <row r="340" spans="1:23" x14ac:dyDescent="0.25">
      <c r="A340" s="24"/>
      <c r="B340" s="25"/>
      <c r="C340" s="26"/>
      <c r="D340" s="24"/>
      <c r="E340" s="24"/>
      <c r="F340" s="24"/>
      <c r="G340" s="24"/>
      <c r="H340" s="24"/>
      <c r="I340" s="24"/>
      <c r="J340" s="27"/>
      <c r="K340" s="24"/>
      <c r="L340" s="24"/>
      <c r="M340" s="24"/>
      <c r="N340" s="24"/>
      <c r="O340" s="24"/>
      <c r="P340" s="26"/>
      <c r="Q340" s="26"/>
      <c r="R340" s="26"/>
      <c r="S340" s="34" t="str">
        <f>IF(OR($C340="",$P340=""),"",MAX(0,ROUND(($P340-$C340)*1440,0)))</f>
        <v/>
      </c>
      <c r="T340" s="34" t="str">
        <f>IF(OR($P340="",$Q340=""),"",MAX(0,ROUND(($Q340-$P340)*1440,0)))</f>
        <v/>
      </c>
      <c r="U340" s="34" t="str">
        <f>IF(OR($Q340="",$R340=""),"",MAX(0,ROUND(($R340-$Q340)*1440,0)))</f>
        <v/>
      </c>
      <c r="V340" s="35" t="str">
        <f>IF($A340="","",IF($O340="No-show","Sim","Não"))</f>
        <v/>
      </c>
      <c r="W340" s="32"/>
    </row>
    <row r="341" spans="1:23" x14ac:dyDescent="0.25">
      <c r="A341" s="24"/>
      <c r="B341" s="25"/>
      <c r="C341" s="26"/>
      <c r="D341" s="24"/>
      <c r="E341" s="24"/>
      <c r="F341" s="24"/>
      <c r="G341" s="24"/>
      <c r="H341" s="24"/>
      <c r="I341" s="24"/>
      <c r="J341" s="27"/>
      <c r="K341" s="24"/>
      <c r="L341" s="24"/>
      <c r="M341" s="24"/>
      <c r="N341" s="24"/>
      <c r="O341" s="24"/>
      <c r="P341" s="26"/>
      <c r="Q341" s="26"/>
      <c r="R341" s="26"/>
      <c r="S341" s="34" t="str">
        <f>IF(OR($C341="",$P341=""),"",MAX(0,ROUND(($P341-$C341)*1440,0)))</f>
        <v/>
      </c>
      <c r="T341" s="34" t="str">
        <f>IF(OR($P341="",$Q341=""),"",MAX(0,ROUND(($Q341-$P341)*1440,0)))</f>
        <v/>
      </c>
      <c r="U341" s="34" t="str">
        <f>IF(OR($Q341="",$R341=""),"",MAX(0,ROUND(($R341-$Q341)*1440,0)))</f>
        <v/>
      </c>
      <c r="V341" s="35" t="str">
        <f>IF($A341="","",IF($O341="No-show","Sim","Não"))</f>
        <v/>
      </c>
      <c r="W341" s="32"/>
    </row>
    <row r="342" spans="1:23" x14ac:dyDescent="0.25">
      <c r="A342" s="24"/>
      <c r="B342" s="25"/>
      <c r="C342" s="26"/>
      <c r="D342" s="24"/>
      <c r="E342" s="24"/>
      <c r="F342" s="24"/>
      <c r="G342" s="24"/>
      <c r="H342" s="24"/>
      <c r="I342" s="24"/>
      <c r="J342" s="27"/>
      <c r="K342" s="24"/>
      <c r="L342" s="24"/>
      <c r="M342" s="24"/>
      <c r="N342" s="24"/>
      <c r="O342" s="24"/>
      <c r="P342" s="26"/>
      <c r="Q342" s="26"/>
      <c r="R342" s="26"/>
      <c r="S342" s="34" t="str">
        <f>IF(OR($C342="",$P342=""),"",MAX(0,ROUND(($P342-$C342)*1440,0)))</f>
        <v/>
      </c>
      <c r="T342" s="34" t="str">
        <f>IF(OR($P342="",$Q342=""),"",MAX(0,ROUND(($Q342-$P342)*1440,0)))</f>
        <v/>
      </c>
      <c r="U342" s="34" t="str">
        <f>IF(OR($Q342="",$R342=""),"",MAX(0,ROUND(($R342-$Q342)*1440,0)))</f>
        <v/>
      </c>
      <c r="V342" s="35" t="str">
        <f>IF($A342="","",IF($O342="No-show","Sim","Não"))</f>
        <v/>
      </c>
      <c r="W342" s="32"/>
    </row>
    <row r="343" spans="1:23" x14ac:dyDescent="0.25">
      <c r="A343" s="24"/>
      <c r="B343" s="25"/>
      <c r="C343" s="26"/>
      <c r="D343" s="24"/>
      <c r="E343" s="24"/>
      <c r="F343" s="24"/>
      <c r="G343" s="24"/>
      <c r="H343" s="24"/>
      <c r="I343" s="24"/>
      <c r="J343" s="27"/>
      <c r="K343" s="24"/>
      <c r="L343" s="24"/>
      <c r="M343" s="24"/>
      <c r="N343" s="24"/>
      <c r="O343" s="24"/>
      <c r="P343" s="26"/>
      <c r="Q343" s="26"/>
      <c r="R343" s="26"/>
      <c r="S343" s="34" t="str">
        <f>IF(OR($C343="",$P343=""),"",MAX(0,ROUND(($P343-$C343)*1440,0)))</f>
        <v/>
      </c>
      <c r="T343" s="34" t="str">
        <f>IF(OR($P343="",$Q343=""),"",MAX(0,ROUND(($Q343-$P343)*1440,0)))</f>
        <v/>
      </c>
      <c r="U343" s="34" t="str">
        <f>IF(OR($Q343="",$R343=""),"",MAX(0,ROUND(($R343-$Q343)*1440,0)))</f>
        <v/>
      </c>
      <c r="V343" s="35" t="str">
        <f>IF($A343="","",IF($O343="No-show","Sim","Não"))</f>
        <v/>
      </c>
      <c r="W343" s="32"/>
    </row>
    <row r="344" spans="1:23" x14ac:dyDescent="0.25">
      <c r="A344" s="24"/>
      <c r="B344" s="25"/>
      <c r="C344" s="26"/>
      <c r="D344" s="24"/>
      <c r="E344" s="24"/>
      <c r="F344" s="24"/>
      <c r="G344" s="24"/>
      <c r="H344" s="24"/>
      <c r="I344" s="24"/>
      <c r="J344" s="27"/>
      <c r="K344" s="24"/>
      <c r="L344" s="24"/>
      <c r="M344" s="24"/>
      <c r="N344" s="24"/>
      <c r="O344" s="24"/>
      <c r="P344" s="26"/>
      <c r="Q344" s="26"/>
      <c r="R344" s="26"/>
      <c r="S344" s="34" t="str">
        <f>IF(OR($C344="",$P344=""),"",MAX(0,ROUND(($P344-$C344)*1440,0)))</f>
        <v/>
      </c>
      <c r="T344" s="34" t="str">
        <f>IF(OR($P344="",$Q344=""),"",MAX(0,ROUND(($Q344-$P344)*1440,0)))</f>
        <v/>
      </c>
      <c r="U344" s="34" t="str">
        <f>IF(OR($Q344="",$R344=""),"",MAX(0,ROUND(($R344-$Q344)*1440,0)))</f>
        <v/>
      </c>
      <c r="V344" s="35" t="str">
        <f>IF($A344="","",IF($O344="No-show","Sim","Não"))</f>
        <v/>
      </c>
      <c r="W344" s="32"/>
    </row>
    <row r="345" spans="1:23" x14ac:dyDescent="0.25">
      <c r="A345" s="24"/>
      <c r="B345" s="25"/>
      <c r="C345" s="26"/>
      <c r="D345" s="24"/>
      <c r="E345" s="24"/>
      <c r="F345" s="24"/>
      <c r="G345" s="24"/>
      <c r="H345" s="24"/>
      <c r="I345" s="24"/>
      <c r="J345" s="27"/>
      <c r="K345" s="24"/>
      <c r="L345" s="24"/>
      <c r="M345" s="24"/>
      <c r="N345" s="24"/>
      <c r="O345" s="24"/>
      <c r="P345" s="26"/>
      <c r="Q345" s="26"/>
      <c r="R345" s="26"/>
      <c r="S345" s="34" t="str">
        <f>IF(OR($C345="",$P345=""),"",MAX(0,ROUND(($P345-$C345)*1440,0)))</f>
        <v/>
      </c>
      <c r="T345" s="34" t="str">
        <f>IF(OR($P345="",$Q345=""),"",MAX(0,ROUND(($Q345-$P345)*1440,0)))</f>
        <v/>
      </c>
      <c r="U345" s="34" t="str">
        <f>IF(OR($Q345="",$R345=""),"",MAX(0,ROUND(($R345-$Q345)*1440,0)))</f>
        <v/>
      </c>
      <c r="V345" s="35" t="str">
        <f>IF($A345="","",IF($O345="No-show","Sim","Não"))</f>
        <v/>
      </c>
      <c r="W345" s="32"/>
    </row>
    <row r="346" spans="1:23" x14ac:dyDescent="0.25">
      <c r="A346" s="24"/>
      <c r="B346" s="25"/>
      <c r="C346" s="26"/>
      <c r="D346" s="24"/>
      <c r="E346" s="24"/>
      <c r="F346" s="24"/>
      <c r="G346" s="24"/>
      <c r="H346" s="24"/>
      <c r="I346" s="24"/>
      <c r="J346" s="27"/>
      <c r="K346" s="24"/>
      <c r="L346" s="24"/>
      <c r="M346" s="24"/>
      <c r="N346" s="24"/>
      <c r="O346" s="24"/>
      <c r="P346" s="26"/>
      <c r="Q346" s="26"/>
      <c r="R346" s="26"/>
      <c r="S346" s="34" t="str">
        <f>IF(OR($C346="",$P346=""),"",MAX(0,ROUND(($P346-$C346)*1440,0)))</f>
        <v/>
      </c>
      <c r="T346" s="34" t="str">
        <f>IF(OR($P346="",$Q346=""),"",MAX(0,ROUND(($Q346-$P346)*1440,0)))</f>
        <v/>
      </c>
      <c r="U346" s="34" t="str">
        <f>IF(OR($Q346="",$R346=""),"",MAX(0,ROUND(($R346-$Q346)*1440,0)))</f>
        <v/>
      </c>
      <c r="V346" s="35" t="str">
        <f>IF($A346="","",IF($O346="No-show","Sim","Não"))</f>
        <v/>
      </c>
      <c r="W346" s="32"/>
    </row>
    <row r="347" spans="1:23" x14ac:dyDescent="0.25">
      <c r="A347" s="24"/>
      <c r="B347" s="25"/>
      <c r="C347" s="26"/>
      <c r="D347" s="24"/>
      <c r="E347" s="24"/>
      <c r="F347" s="24"/>
      <c r="G347" s="24"/>
      <c r="H347" s="24"/>
      <c r="I347" s="24"/>
      <c r="J347" s="27"/>
      <c r="K347" s="24"/>
      <c r="L347" s="24"/>
      <c r="M347" s="24"/>
      <c r="N347" s="24"/>
      <c r="O347" s="24"/>
      <c r="P347" s="26"/>
      <c r="Q347" s="26"/>
      <c r="R347" s="26"/>
      <c r="S347" s="34" t="str">
        <f>IF(OR($C347="",$P347=""),"",MAX(0,ROUND(($P347-$C347)*1440,0)))</f>
        <v/>
      </c>
      <c r="T347" s="34" t="str">
        <f>IF(OR($P347="",$Q347=""),"",MAX(0,ROUND(($Q347-$P347)*1440,0)))</f>
        <v/>
      </c>
      <c r="U347" s="34" t="str">
        <f>IF(OR($Q347="",$R347=""),"",MAX(0,ROUND(($R347-$Q347)*1440,0)))</f>
        <v/>
      </c>
      <c r="V347" s="35" t="str">
        <f>IF($A347="","",IF($O347="No-show","Sim","Não"))</f>
        <v/>
      </c>
      <c r="W347" s="32"/>
    </row>
    <row r="348" spans="1:23" x14ac:dyDescent="0.25">
      <c r="A348" s="24"/>
      <c r="B348" s="25"/>
      <c r="C348" s="26"/>
      <c r="D348" s="24"/>
      <c r="E348" s="24"/>
      <c r="F348" s="24"/>
      <c r="G348" s="24"/>
      <c r="H348" s="24"/>
      <c r="I348" s="24"/>
      <c r="J348" s="27"/>
      <c r="K348" s="24"/>
      <c r="L348" s="24"/>
      <c r="M348" s="24"/>
      <c r="N348" s="24"/>
      <c r="O348" s="24"/>
      <c r="P348" s="26"/>
      <c r="Q348" s="26"/>
      <c r="R348" s="26"/>
      <c r="S348" s="34" t="str">
        <f>IF(OR($C348="",$P348=""),"",MAX(0,ROUND(($P348-$C348)*1440,0)))</f>
        <v/>
      </c>
      <c r="T348" s="34" t="str">
        <f>IF(OR($P348="",$Q348=""),"",MAX(0,ROUND(($Q348-$P348)*1440,0)))</f>
        <v/>
      </c>
      <c r="U348" s="34" t="str">
        <f>IF(OR($Q348="",$R348=""),"",MAX(0,ROUND(($R348-$Q348)*1440,0)))</f>
        <v/>
      </c>
      <c r="V348" s="35" t="str">
        <f>IF($A348="","",IF($O348="No-show","Sim","Não"))</f>
        <v/>
      </c>
      <c r="W348" s="32"/>
    </row>
    <row r="349" spans="1:23" x14ac:dyDescent="0.25">
      <c r="A349" s="24"/>
      <c r="B349" s="25"/>
      <c r="C349" s="26"/>
      <c r="D349" s="24"/>
      <c r="E349" s="24"/>
      <c r="F349" s="24"/>
      <c r="G349" s="24"/>
      <c r="H349" s="24"/>
      <c r="I349" s="24"/>
      <c r="J349" s="27"/>
      <c r="K349" s="24"/>
      <c r="L349" s="24"/>
      <c r="M349" s="24"/>
      <c r="N349" s="24"/>
      <c r="O349" s="24"/>
      <c r="P349" s="26"/>
      <c r="Q349" s="26"/>
      <c r="R349" s="26"/>
      <c r="S349" s="34" t="str">
        <f>IF(OR($C349="",$P349=""),"",MAX(0,ROUND(($P349-$C349)*1440,0)))</f>
        <v/>
      </c>
      <c r="T349" s="34" t="str">
        <f>IF(OR($P349="",$Q349=""),"",MAX(0,ROUND(($Q349-$P349)*1440,0)))</f>
        <v/>
      </c>
      <c r="U349" s="34" t="str">
        <f>IF(OR($Q349="",$R349=""),"",MAX(0,ROUND(($R349-$Q349)*1440,0)))</f>
        <v/>
      </c>
      <c r="V349" s="35" t="str">
        <f>IF($A349="","",IF($O349="No-show","Sim","Não"))</f>
        <v/>
      </c>
      <c r="W349" s="32"/>
    </row>
    <row r="350" spans="1:23" x14ac:dyDescent="0.25">
      <c r="A350" s="24"/>
      <c r="B350" s="25"/>
      <c r="C350" s="26"/>
      <c r="D350" s="24"/>
      <c r="E350" s="24"/>
      <c r="F350" s="24"/>
      <c r="G350" s="24"/>
      <c r="H350" s="24"/>
      <c r="I350" s="24"/>
      <c r="J350" s="27"/>
      <c r="K350" s="24"/>
      <c r="L350" s="24"/>
      <c r="M350" s="24"/>
      <c r="N350" s="24"/>
      <c r="O350" s="24"/>
      <c r="P350" s="26"/>
      <c r="Q350" s="26"/>
      <c r="R350" s="26"/>
      <c r="S350" s="34" t="str">
        <f>IF(OR($C350="",$P350=""),"",MAX(0,ROUND(($P350-$C350)*1440,0)))</f>
        <v/>
      </c>
      <c r="T350" s="34" t="str">
        <f>IF(OR($P350="",$Q350=""),"",MAX(0,ROUND(($Q350-$P350)*1440,0)))</f>
        <v/>
      </c>
      <c r="U350" s="34" t="str">
        <f>IF(OR($Q350="",$R350=""),"",MAX(0,ROUND(($R350-$Q350)*1440,0)))</f>
        <v/>
      </c>
      <c r="V350" s="35" t="str">
        <f>IF($A350="","",IF($O350="No-show","Sim","Não"))</f>
        <v/>
      </c>
      <c r="W350" s="32"/>
    </row>
    <row r="351" spans="1:23" x14ac:dyDescent="0.25">
      <c r="A351" s="24"/>
      <c r="B351" s="25"/>
      <c r="C351" s="26"/>
      <c r="D351" s="24"/>
      <c r="E351" s="24"/>
      <c r="F351" s="24"/>
      <c r="G351" s="24"/>
      <c r="H351" s="24"/>
      <c r="I351" s="24"/>
      <c r="J351" s="27"/>
      <c r="K351" s="24"/>
      <c r="L351" s="24"/>
      <c r="M351" s="24"/>
      <c r="N351" s="24"/>
      <c r="O351" s="24"/>
      <c r="P351" s="26"/>
      <c r="Q351" s="26"/>
      <c r="R351" s="26"/>
      <c r="S351" s="34" t="str">
        <f>IF(OR($C351="",$P351=""),"",MAX(0,ROUND(($P351-$C351)*1440,0)))</f>
        <v/>
      </c>
      <c r="T351" s="34" t="str">
        <f>IF(OR($P351="",$Q351=""),"",MAX(0,ROUND(($Q351-$P351)*1440,0)))</f>
        <v/>
      </c>
      <c r="U351" s="34" t="str">
        <f>IF(OR($Q351="",$R351=""),"",MAX(0,ROUND(($R351-$Q351)*1440,0)))</f>
        <v/>
      </c>
      <c r="V351" s="35" t="str">
        <f>IF($A351="","",IF($O351="No-show","Sim","Não"))</f>
        <v/>
      </c>
      <c r="W351" s="32"/>
    </row>
    <row r="352" spans="1:23" x14ac:dyDescent="0.25">
      <c r="A352" s="24"/>
      <c r="B352" s="25"/>
      <c r="C352" s="26"/>
      <c r="D352" s="24"/>
      <c r="E352" s="24"/>
      <c r="F352" s="24"/>
      <c r="G352" s="24"/>
      <c r="H352" s="24"/>
      <c r="I352" s="24"/>
      <c r="J352" s="27"/>
      <c r="K352" s="24"/>
      <c r="L352" s="24"/>
      <c r="M352" s="24"/>
      <c r="N352" s="24"/>
      <c r="O352" s="24"/>
      <c r="P352" s="26"/>
      <c r="Q352" s="26"/>
      <c r="R352" s="26"/>
      <c r="S352" s="34" t="str">
        <f>IF(OR($C352="",$P352=""),"",MAX(0,ROUND(($P352-$C352)*1440,0)))</f>
        <v/>
      </c>
      <c r="T352" s="34" t="str">
        <f>IF(OR($P352="",$Q352=""),"",MAX(0,ROUND(($Q352-$P352)*1440,0)))</f>
        <v/>
      </c>
      <c r="U352" s="34" t="str">
        <f>IF(OR($Q352="",$R352=""),"",MAX(0,ROUND(($R352-$Q352)*1440,0)))</f>
        <v/>
      </c>
      <c r="V352" s="35" t="str">
        <f>IF($A352="","",IF($O352="No-show","Sim","Não"))</f>
        <v/>
      </c>
      <c r="W352" s="32"/>
    </row>
    <row r="353" spans="1:23" x14ac:dyDescent="0.25">
      <c r="A353" s="24"/>
      <c r="B353" s="25"/>
      <c r="C353" s="26"/>
      <c r="D353" s="24"/>
      <c r="E353" s="24"/>
      <c r="F353" s="24"/>
      <c r="G353" s="24"/>
      <c r="H353" s="24"/>
      <c r="I353" s="24"/>
      <c r="J353" s="27"/>
      <c r="K353" s="24"/>
      <c r="L353" s="24"/>
      <c r="M353" s="24"/>
      <c r="N353" s="24"/>
      <c r="O353" s="24"/>
      <c r="P353" s="26"/>
      <c r="Q353" s="26"/>
      <c r="R353" s="26"/>
      <c r="S353" s="34" t="str">
        <f>IF(OR($C353="",$P353=""),"",MAX(0,ROUND(($P353-$C353)*1440,0)))</f>
        <v/>
      </c>
      <c r="T353" s="34" t="str">
        <f>IF(OR($P353="",$Q353=""),"",MAX(0,ROUND(($Q353-$P353)*1440,0)))</f>
        <v/>
      </c>
      <c r="U353" s="34" t="str">
        <f>IF(OR($Q353="",$R353=""),"",MAX(0,ROUND(($R353-$Q353)*1440,0)))</f>
        <v/>
      </c>
      <c r="V353" s="35" t="str">
        <f>IF($A353="","",IF($O353="No-show","Sim","Não"))</f>
        <v/>
      </c>
      <c r="W353" s="32"/>
    </row>
    <row r="354" spans="1:23" x14ac:dyDescent="0.25">
      <c r="A354" s="24"/>
      <c r="B354" s="25"/>
      <c r="C354" s="26"/>
      <c r="D354" s="24"/>
      <c r="E354" s="24"/>
      <c r="F354" s="24"/>
      <c r="G354" s="24"/>
      <c r="H354" s="24"/>
      <c r="I354" s="24"/>
      <c r="J354" s="27"/>
      <c r="K354" s="24"/>
      <c r="L354" s="24"/>
      <c r="M354" s="24"/>
      <c r="N354" s="24"/>
      <c r="O354" s="24"/>
      <c r="P354" s="26"/>
      <c r="Q354" s="26"/>
      <c r="R354" s="26"/>
      <c r="S354" s="34" t="str">
        <f>IF(OR($C354="",$P354=""),"",MAX(0,ROUND(($P354-$C354)*1440,0)))</f>
        <v/>
      </c>
      <c r="T354" s="34" t="str">
        <f>IF(OR($P354="",$Q354=""),"",MAX(0,ROUND(($Q354-$P354)*1440,0)))</f>
        <v/>
      </c>
      <c r="U354" s="34" t="str">
        <f>IF(OR($Q354="",$R354=""),"",MAX(0,ROUND(($R354-$Q354)*1440,0)))</f>
        <v/>
      </c>
      <c r="V354" s="35" t="str">
        <f>IF($A354="","",IF($O354="No-show","Sim","Não"))</f>
        <v/>
      </c>
      <c r="W354" s="32"/>
    </row>
    <row r="355" spans="1:23" x14ac:dyDescent="0.25">
      <c r="A355" s="24"/>
      <c r="B355" s="25"/>
      <c r="C355" s="26"/>
      <c r="D355" s="24"/>
      <c r="E355" s="24"/>
      <c r="F355" s="24"/>
      <c r="G355" s="24"/>
      <c r="H355" s="24"/>
      <c r="I355" s="24"/>
      <c r="J355" s="27"/>
      <c r="K355" s="24"/>
      <c r="L355" s="24"/>
      <c r="M355" s="24"/>
      <c r="N355" s="24"/>
      <c r="O355" s="24"/>
      <c r="P355" s="26"/>
      <c r="Q355" s="26"/>
      <c r="R355" s="26"/>
      <c r="S355" s="34" t="str">
        <f>IF(OR($C355="",$P355=""),"",MAX(0,ROUND(($P355-$C355)*1440,0)))</f>
        <v/>
      </c>
      <c r="T355" s="34" t="str">
        <f>IF(OR($P355="",$Q355=""),"",MAX(0,ROUND(($Q355-$P355)*1440,0)))</f>
        <v/>
      </c>
      <c r="U355" s="34" t="str">
        <f>IF(OR($Q355="",$R355=""),"",MAX(0,ROUND(($R355-$Q355)*1440,0)))</f>
        <v/>
      </c>
      <c r="V355" s="35" t="str">
        <f>IF($A355="","",IF($O355="No-show","Sim","Não"))</f>
        <v/>
      </c>
      <c r="W355" s="32"/>
    </row>
    <row r="356" spans="1:23" x14ac:dyDescent="0.25">
      <c r="A356" s="24"/>
      <c r="B356" s="25"/>
      <c r="C356" s="26"/>
      <c r="D356" s="24"/>
      <c r="E356" s="24"/>
      <c r="F356" s="24"/>
      <c r="G356" s="24"/>
      <c r="H356" s="24"/>
      <c r="I356" s="24"/>
      <c r="J356" s="27"/>
      <c r="K356" s="24"/>
      <c r="L356" s="24"/>
      <c r="M356" s="24"/>
      <c r="N356" s="24"/>
      <c r="O356" s="24"/>
      <c r="P356" s="26"/>
      <c r="Q356" s="26"/>
      <c r="R356" s="26"/>
      <c r="S356" s="34" t="str">
        <f>IF(OR($C356="",$P356=""),"",MAX(0,ROUND(($P356-$C356)*1440,0)))</f>
        <v/>
      </c>
      <c r="T356" s="34" t="str">
        <f>IF(OR($P356="",$Q356=""),"",MAX(0,ROUND(($Q356-$P356)*1440,0)))</f>
        <v/>
      </c>
      <c r="U356" s="34" t="str">
        <f>IF(OR($Q356="",$R356=""),"",MAX(0,ROUND(($R356-$Q356)*1440,0)))</f>
        <v/>
      </c>
      <c r="V356" s="35" t="str">
        <f>IF($A356="","",IF($O356="No-show","Sim","Não"))</f>
        <v/>
      </c>
      <c r="W356" s="32"/>
    </row>
    <row r="357" spans="1:23" x14ac:dyDescent="0.25">
      <c r="A357" s="24"/>
      <c r="B357" s="25"/>
      <c r="C357" s="26"/>
      <c r="D357" s="24"/>
      <c r="E357" s="24"/>
      <c r="F357" s="24"/>
      <c r="G357" s="24"/>
      <c r="H357" s="24"/>
      <c r="I357" s="24"/>
      <c r="J357" s="27"/>
      <c r="K357" s="24"/>
      <c r="L357" s="24"/>
      <c r="M357" s="24"/>
      <c r="N357" s="24"/>
      <c r="O357" s="24"/>
      <c r="P357" s="26"/>
      <c r="Q357" s="26"/>
      <c r="R357" s="26"/>
      <c r="S357" s="34" t="str">
        <f>IF(OR($C357="",$P357=""),"",MAX(0,ROUND(($P357-$C357)*1440,0)))</f>
        <v/>
      </c>
      <c r="T357" s="34" t="str">
        <f>IF(OR($P357="",$Q357=""),"",MAX(0,ROUND(($Q357-$P357)*1440,0)))</f>
        <v/>
      </c>
      <c r="U357" s="34" t="str">
        <f>IF(OR($Q357="",$R357=""),"",MAX(0,ROUND(($R357-$Q357)*1440,0)))</f>
        <v/>
      </c>
      <c r="V357" s="35" t="str">
        <f>IF($A357="","",IF($O357="No-show","Sim","Não"))</f>
        <v/>
      </c>
      <c r="W357" s="32"/>
    </row>
    <row r="358" spans="1:23" x14ac:dyDescent="0.25">
      <c r="A358" s="24"/>
      <c r="B358" s="25"/>
      <c r="C358" s="26"/>
      <c r="D358" s="24"/>
      <c r="E358" s="24"/>
      <c r="F358" s="24"/>
      <c r="G358" s="24"/>
      <c r="H358" s="24"/>
      <c r="I358" s="24"/>
      <c r="J358" s="27"/>
      <c r="K358" s="24"/>
      <c r="L358" s="24"/>
      <c r="M358" s="24"/>
      <c r="N358" s="24"/>
      <c r="O358" s="24"/>
      <c r="P358" s="26"/>
      <c r="Q358" s="26"/>
      <c r="R358" s="26"/>
      <c r="S358" s="34" t="str">
        <f>IF(OR($C358="",$P358=""),"",MAX(0,ROUND(($P358-$C358)*1440,0)))</f>
        <v/>
      </c>
      <c r="T358" s="34" t="str">
        <f>IF(OR($P358="",$Q358=""),"",MAX(0,ROUND(($Q358-$P358)*1440,0)))</f>
        <v/>
      </c>
      <c r="U358" s="34" t="str">
        <f>IF(OR($Q358="",$R358=""),"",MAX(0,ROUND(($R358-$Q358)*1440,0)))</f>
        <v/>
      </c>
      <c r="V358" s="35" t="str">
        <f>IF($A358="","",IF($O358="No-show","Sim","Não"))</f>
        <v/>
      </c>
      <c r="W358" s="32"/>
    </row>
    <row r="359" spans="1:23" x14ac:dyDescent="0.25">
      <c r="A359" s="24"/>
      <c r="B359" s="25"/>
      <c r="C359" s="26"/>
      <c r="D359" s="24"/>
      <c r="E359" s="24"/>
      <c r="F359" s="24"/>
      <c r="G359" s="24"/>
      <c r="H359" s="24"/>
      <c r="I359" s="24"/>
      <c r="J359" s="27"/>
      <c r="K359" s="24"/>
      <c r="L359" s="24"/>
      <c r="M359" s="24"/>
      <c r="N359" s="24"/>
      <c r="O359" s="24"/>
      <c r="P359" s="26"/>
      <c r="Q359" s="26"/>
      <c r="R359" s="26"/>
      <c r="S359" s="34" t="str">
        <f>IF(OR($C359="",$P359=""),"",MAX(0,ROUND(($P359-$C359)*1440,0)))</f>
        <v/>
      </c>
      <c r="T359" s="34" t="str">
        <f>IF(OR($P359="",$Q359=""),"",MAX(0,ROUND(($Q359-$P359)*1440,0)))</f>
        <v/>
      </c>
      <c r="U359" s="34" t="str">
        <f>IF(OR($Q359="",$R359=""),"",MAX(0,ROUND(($R359-$Q359)*1440,0)))</f>
        <v/>
      </c>
      <c r="V359" s="35" t="str">
        <f>IF($A359="","",IF($O359="No-show","Sim","Não"))</f>
        <v/>
      </c>
      <c r="W359" s="32"/>
    </row>
    <row r="360" spans="1:23" x14ac:dyDescent="0.25">
      <c r="A360" s="24"/>
      <c r="B360" s="25"/>
      <c r="C360" s="26"/>
      <c r="D360" s="24"/>
      <c r="E360" s="24"/>
      <c r="F360" s="24"/>
      <c r="G360" s="24"/>
      <c r="H360" s="24"/>
      <c r="I360" s="24"/>
      <c r="J360" s="27"/>
      <c r="K360" s="24"/>
      <c r="L360" s="24"/>
      <c r="M360" s="24"/>
      <c r="N360" s="24"/>
      <c r="O360" s="24"/>
      <c r="P360" s="26"/>
      <c r="Q360" s="26"/>
      <c r="R360" s="26"/>
      <c r="S360" s="34" t="str">
        <f>IF(OR($C360="",$P360=""),"",MAX(0,ROUND(($P360-$C360)*1440,0)))</f>
        <v/>
      </c>
      <c r="T360" s="34" t="str">
        <f>IF(OR($P360="",$Q360=""),"",MAX(0,ROUND(($Q360-$P360)*1440,0)))</f>
        <v/>
      </c>
      <c r="U360" s="34" t="str">
        <f>IF(OR($Q360="",$R360=""),"",MAX(0,ROUND(($R360-$Q360)*1440,0)))</f>
        <v/>
      </c>
      <c r="V360" s="35" t="str">
        <f>IF($A360="","",IF($O360="No-show","Sim","Não"))</f>
        <v/>
      </c>
      <c r="W360" s="32"/>
    </row>
    <row r="361" spans="1:23" x14ac:dyDescent="0.25">
      <c r="A361" s="24"/>
      <c r="B361" s="25"/>
      <c r="C361" s="26"/>
      <c r="D361" s="24"/>
      <c r="E361" s="24"/>
      <c r="F361" s="24"/>
      <c r="G361" s="24"/>
      <c r="H361" s="24"/>
      <c r="I361" s="24"/>
      <c r="J361" s="27"/>
      <c r="K361" s="24"/>
      <c r="L361" s="24"/>
      <c r="M361" s="24"/>
      <c r="N361" s="24"/>
      <c r="O361" s="24"/>
      <c r="P361" s="26"/>
      <c r="Q361" s="26"/>
      <c r="R361" s="26"/>
      <c r="S361" s="34" t="str">
        <f>IF(OR($C361="",$P361=""),"",MAX(0,ROUND(($P361-$C361)*1440,0)))</f>
        <v/>
      </c>
      <c r="T361" s="34" t="str">
        <f>IF(OR($P361="",$Q361=""),"",MAX(0,ROUND(($Q361-$P361)*1440,0)))</f>
        <v/>
      </c>
      <c r="U361" s="34" t="str">
        <f>IF(OR($Q361="",$R361=""),"",MAX(0,ROUND(($R361-$Q361)*1440,0)))</f>
        <v/>
      </c>
      <c r="V361" s="35" t="str">
        <f>IF($A361="","",IF($O361="No-show","Sim","Não"))</f>
        <v/>
      </c>
      <c r="W361" s="32"/>
    </row>
    <row r="362" spans="1:23" x14ac:dyDescent="0.25">
      <c r="A362" s="24"/>
      <c r="B362" s="25"/>
      <c r="C362" s="26"/>
      <c r="D362" s="24"/>
      <c r="E362" s="24"/>
      <c r="F362" s="24"/>
      <c r="G362" s="24"/>
      <c r="H362" s="24"/>
      <c r="I362" s="24"/>
      <c r="J362" s="27"/>
      <c r="K362" s="24"/>
      <c r="L362" s="24"/>
      <c r="M362" s="24"/>
      <c r="N362" s="24"/>
      <c r="O362" s="24"/>
      <c r="P362" s="26"/>
      <c r="Q362" s="26"/>
      <c r="R362" s="26"/>
      <c r="S362" s="34" t="str">
        <f>IF(OR($C362="",$P362=""),"",MAX(0,ROUND(($P362-$C362)*1440,0)))</f>
        <v/>
      </c>
      <c r="T362" s="34" t="str">
        <f>IF(OR($P362="",$Q362=""),"",MAX(0,ROUND(($Q362-$P362)*1440,0)))</f>
        <v/>
      </c>
      <c r="U362" s="34" t="str">
        <f>IF(OR($Q362="",$R362=""),"",MAX(0,ROUND(($R362-$Q362)*1440,0)))</f>
        <v/>
      </c>
      <c r="V362" s="35" t="str">
        <f>IF($A362="","",IF($O362="No-show","Sim","Não"))</f>
        <v/>
      </c>
      <c r="W362" s="32"/>
    </row>
    <row r="363" spans="1:23" x14ac:dyDescent="0.25">
      <c r="A363" s="24"/>
      <c r="B363" s="25"/>
      <c r="C363" s="26"/>
      <c r="D363" s="24"/>
      <c r="E363" s="24"/>
      <c r="F363" s="24"/>
      <c r="G363" s="24"/>
      <c r="H363" s="24"/>
      <c r="I363" s="24"/>
      <c r="J363" s="27"/>
      <c r="K363" s="24"/>
      <c r="L363" s="24"/>
      <c r="M363" s="24"/>
      <c r="N363" s="24"/>
      <c r="O363" s="24"/>
      <c r="P363" s="26"/>
      <c r="Q363" s="26"/>
      <c r="R363" s="26"/>
      <c r="S363" s="34" t="str">
        <f>IF(OR($C363="",$P363=""),"",MAX(0,ROUND(($P363-$C363)*1440,0)))</f>
        <v/>
      </c>
      <c r="T363" s="34" t="str">
        <f>IF(OR($P363="",$Q363=""),"",MAX(0,ROUND(($Q363-$P363)*1440,0)))</f>
        <v/>
      </c>
      <c r="U363" s="34" t="str">
        <f>IF(OR($Q363="",$R363=""),"",MAX(0,ROUND(($R363-$Q363)*1440,0)))</f>
        <v/>
      </c>
      <c r="V363" s="35" t="str">
        <f>IF($A363="","",IF($O363="No-show","Sim","Não"))</f>
        <v/>
      </c>
      <c r="W363" s="32"/>
    </row>
    <row r="364" spans="1:23" x14ac:dyDescent="0.25">
      <c r="A364" s="24"/>
      <c r="B364" s="25"/>
      <c r="C364" s="26"/>
      <c r="D364" s="24"/>
      <c r="E364" s="24"/>
      <c r="F364" s="24"/>
      <c r="G364" s="24"/>
      <c r="H364" s="24"/>
      <c r="I364" s="24"/>
      <c r="J364" s="27"/>
      <c r="K364" s="24"/>
      <c r="L364" s="24"/>
      <c r="M364" s="24"/>
      <c r="N364" s="24"/>
      <c r="O364" s="24"/>
      <c r="P364" s="26"/>
      <c r="Q364" s="26"/>
      <c r="R364" s="26"/>
      <c r="S364" s="34" t="str">
        <f>IF(OR($C364="",$P364=""),"",MAX(0,ROUND(($P364-$C364)*1440,0)))</f>
        <v/>
      </c>
      <c r="T364" s="34" t="str">
        <f>IF(OR($P364="",$Q364=""),"",MAX(0,ROUND(($Q364-$P364)*1440,0)))</f>
        <v/>
      </c>
      <c r="U364" s="34" t="str">
        <f>IF(OR($Q364="",$R364=""),"",MAX(0,ROUND(($R364-$Q364)*1440,0)))</f>
        <v/>
      </c>
      <c r="V364" s="35" t="str">
        <f>IF($A364="","",IF($O364="No-show","Sim","Não"))</f>
        <v/>
      </c>
      <c r="W364" s="32"/>
    </row>
    <row r="365" spans="1:23" x14ac:dyDescent="0.25">
      <c r="A365" s="24"/>
      <c r="B365" s="25"/>
      <c r="C365" s="26"/>
      <c r="D365" s="24"/>
      <c r="E365" s="24"/>
      <c r="F365" s="24"/>
      <c r="G365" s="24"/>
      <c r="H365" s="24"/>
      <c r="I365" s="24"/>
      <c r="J365" s="27"/>
      <c r="K365" s="24"/>
      <c r="L365" s="24"/>
      <c r="M365" s="24"/>
      <c r="N365" s="24"/>
      <c r="O365" s="24"/>
      <c r="P365" s="26"/>
      <c r="Q365" s="26"/>
      <c r="R365" s="26"/>
      <c r="S365" s="34" t="str">
        <f>IF(OR($C365="",$P365=""),"",MAX(0,ROUND(($P365-$C365)*1440,0)))</f>
        <v/>
      </c>
      <c r="T365" s="34" t="str">
        <f>IF(OR($P365="",$Q365=""),"",MAX(0,ROUND(($Q365-$P365)*1440,0)))</f>
        <v/>
      </c>
      <c r="U365" s="34" t="str">
        <f>IF(OR($Q365="",$R365=""),"",MAX(0,ROUND(($R365-$Q365)*1440,0)))</f>
        <v/>
      </c>
      <c r="V365" s="35" t="str">
        <f>IF($A365="","",IF($O365="No-show","Sim","Não"))</f>
        <v/>
      </c>
      <c r="W365" s="32"/>
    </row>
    <row r="366" spans="1:23" x14ac:dyDescent="0.25">
      <c r="A366" s="24"/>
      <c r="B366" s="25"/>
      <c r="C366" s="26"/>
      <c r="D366" s="24"/>
      <c r="E366" s="24"/>
      <c r="F366" s="24"/>
      <c r="G366" s="24"/>
      <c r="H366" s="24"/>
      <c r="I366" s="24"/>
      <c r="J366" s="27"/>
      <c r="K366" s="24"/>
      <c r="L366" s="24"/>
      <c r="M366" s="24"/>
      <c r="N366" s="24"/>
      <c r="O366" s="24"/>
      <c r="P366" s="26"/>
      <c r="Q366" s="26"/>
      <c r="R366" s="26"/>
      <c r="S366" s="34" t="str">
        <f>IF(OR($C366="",$P366=""),"",MAX(0,ROUND(($P366-$C366)*1440,0)))</f>
        <v/>
      </c>
      <c r="T366" s="34" t="str">
        <f>IF(OR($P366="",$Q366=""),"",MAX(0,ROUND(($Q366-$P366)*1440,0)))</f>
        <v/>
      </c>
      <c r="U366" s="34" t="str">
        <f>IF(OR($Q366="",$R366=""),"",MAX(0,ROUND(($R366-$Q366)*1440,0)))</f>
        <v/>
      </c>
      <c r="V366" s="35" t="str">
        <f>IF($A366="","",IF($O366="No-show","Sim","Não"))</f>
        <v/>
      </c>
      <c r="W366" s="32"/>
    </row>
    <row r="367" spans="1:23" x14ac:dyDescent="0.25">
      <c r="A367" s="24"/>
      <c r="B367" s="25"/>
      <c r="C367" s="26"/>
      <c r="D367" s="24"/>
      <c r="E367" s="24"/>
      <c r="F367" s="24"/>
      <c r="G367" s="24"/>
      <c r="H367" s="24"/>
      <c r="I367" s="24"/>
      <c r="J367" s="27"/>
      <c r="K367" s="24"/>
      <c r="L367" s="24"/>
      <c r="M367" s="24"/>
      <c r="N367" s="24"/>
      <c r="O367" s="24"/>
      <c r="P367" s="26"/>
      <c r="Q367" s="26"/>
      <c r="R367" s="26"/>
      <c r="S367" s="34" t="str">
        <f>IF(OR($C367="",$P367=""),"",MAX(0,ROUND(($P367-$C367)*1440,0)))</f>
        <v/>
      </c>
      <c r="T367" s="34" t="str">
        <f>IF(OR($P367="",$Q367=""),"",MAX(0,ROUND(($Q367-$P367)*1440,0)))</f>
        <v/>
      </c>
      <c r="U367" s="34" t="str">
        <f>IF(OR($Q367="",$R367=""),"",MAX(0,ROUND(($R367-$Q367)*1440,0)))</f>
        <v/>
      </c>
      <c r="V367" s="35" t="str">
        <f>IF($A367="","",IF($O367="No-show","Sim","Não"))</f>
        <v/>
      </c>
      <c r="W367" s="32"/>
    </row>
    <row r="368" spans="1:23" x14ac:dyDescent="0.25">
      <c r="A368" s="24"/>
      <c r="B368" s="25"/>
      <c r="C368" s="26"/>
      <c r="D368" s="24"/>
      <c r="E368" s="24"/>
      <c r="F368" s="24"/>
      <c r="G368" s="24"/>
      <c r="H368" s="24"/>
      <c r="I368" s="24"/>
      <c r="J368" s="27"/>
      <c r="K368" s="24"/>
      <c r="L368" s="24"/>
      <c r="M368" s="24"/>
      <c r="N368" s="24"/>
      <c r="O368" s="24"/>
      <c r="P368" s="26"/>
      <c r="Q368" s="26"/>
      <c r="R368" s="26"/>
      <c r="S368" s="34" t="str">
        <f>IF(OR($C368="",$P368=""),"",MAX(0,ROUND(($P368-$C368)*1440,0)))</f>
        <v/>
      </c>
      <c r="T368" s="34" t="str">
        <f>IF(OR($P368="",$Q368=""),"",MAX(0,ROUND(($Q368-$P368)*1440,0)))</f>
        <v/>
      </c>
      <c r="U368" s="34" t="str">
        <f>IF(OR($Q368="",$R368=""),"",MAX(0,ROUND(($R368-$Q368)*1440,0)))</f>
        <v/>
      </c>
      <c r="V368" s="35" t="str">
        <f>IF($A368="","",IF($O368="No-show","Sim","Não"))</f>
        <v/>
      </c>
      <c r="W368" s="32"/>
    </row>
    <row r="369" spans="1:23" x14ac:dyDescent="0.25">
      <c r="A369" s="24"/>
      <c r="B369" s="25"/>
      <c r="C369" s="26"/>
      <c r="D369" s="24"/>
      <c r="E369" s="24"/>
      <c r="F369" s="24"/>
      <c r="G369" s="24"/>
      <c r="H369" s="24"/>
      <c r="I369" s="24"/>
      <c r="J369" s="27"/>
      <c r="K369" s="24"/>
      <c r="L369" s="24"/>
      <c r="M369" s="24"/>
      <c r="N369" s="24"/>
      <c r="O369" s="24"/>
      <c r="P369" s="26"/>
      <c r="Q369" s="26"/>
      <c r="R369" s="26"/>
      <c r="S369" s="34" t="str">
        <f>IF(OR($C369="",$P369=""),"",MAX(0,ROUND(($P369-$C369)*1440,0)))</f>
        <v/>
      </c>
      <c r="T369" s="34" t="str">
        <f>IF(OR($P369="",$Q369=""),"",MAX(0,ROUND(($Q369-$P369)*1440,0)))</f>
        <v/>
      </c>
      <c r="U369" s="34" t="str">
        <f>IF(OR($Q369="",$R369=""),"",MAX(0,ROUND(($R369-$Q369)*1440,0)))</f>
        <v/>
      </c>
      <c r="V369" s="35" t="str">
        <f>IF($A369="","",IF($O369="No-show","Sim","Não"))</f>
        <v/>
      </c>
      <c r="W369" s="32"/>
    </row>
    <row r="370" spans="1:23" x14ac:dyDescent="0.25">
      <c r="A370" s="24"/>
      <c r="B370" s="25"/>
      <c r="C370" s="26"/>
      <c r="D370" s="24"/>
      <c r="E370" s="24"/>
      <c r="F370" s="24"/>
      <c r="G370" s="24"/>
      <c r="H370" s="24"/>
      <c r="I370" s="24"/>
      <c r="J370" s="27"/>
      <c r="K370" s="24"/>
      <c r="L370" s="24"/>
      <c r="M370" s="24"/>
      <c r="N370" s="24"/>
      <c r="O370" s="24"/>
      <c r="P370" s="26"/>
      <c r="Q370" s="26"/>
      <c r="R370" s="26"/>
      <c r="S370" s="34" t="str">
        <f>IF(OR($C370="",$P370=""),"",MAX(0,ROUND(($P370-$C370)*1440,0)))</f>
        <v/>
      </c>
      <c r="T370" s="34" t="str">
        <f>IF(OR($P370="",$Q370=""),"",MAX(0,ROUND(($Q370-$P370)*1440,0)))</f>
        <v/>
      </c>
      <c r="U370" s="34" t="str">
        <f>IF(OR($Q370="",$R370=""),"",MAX(0,ROUND(($R370-$Q370)*1440,0)))</f>
        <v/>
      </c>
      <c r="V370" s="35" t="str">
        <f>IF($A370="","",IF($O370="No-show","Sim","Não"))</f>
        <v/>
      </c>
      <c r="W370" s="32"/>
    </row>
    <row r="371" spans="1:23" x14ac:dyDescent="0.25">
      <c r="A371" s="24"/>
      <c r="B371" s="25"/>
      <c r="C371" s="26"/>
      <c r="D371" s="24"/>
      <c r="E371" s="24"/>
      <c r="F371" s="24"/>
      <c r="G371" s="24"/>
      <c r="H371" s="24"/>
      <c r="I371" s="24"/>
      <c r="J371" s="27"/>
      <c r="K371" s="24"/>
      <c r="L371" s="24"/>
      <c r="M371" s="24"/>
      <c r="N371" s="24"/>
      <c r="O371" s="24"/>
      <c r="P371" s="26"/>
      <c r="Q371" s="26"/>
      <c r="R371" s="26"/>
      <c r="S371" s="34" t="str">
        <f>IF(OR($C371="",$P371=""),"",MAX(0,ROUND(($P371-$C371)*1440,0)))</f>
        <v/>
      </c>
      <c r="T371" s="34" t="str">
        <f>IF(OR($P371="",$Q371=""),"",MAX(0,ROUND(($Q371-$P371)*1440,0)))</f>
        <v/>
      </c>
      <c r="U371" s="34" t="str">
        <f>IF(OR($Q371="",$R371=""),"",MAX(0,ROUND(($R371-$Q371)*1440,0)))</f>
        <v/>
      </c>
      <c r="V371" s="35" t="str">
        <f>IF($A371="","",IF($O371="No-show","Sim","Não"))</f>
        <v/>
      </c>
      <c r="W371" s="32"/>
    </row>
    <row r="372" spans="1:23" x14ac:dyDescent="0.25">
      <c r="A372" s="24"/>
      <c r="B372" s="25"/>
      <c r="C372" s="26"/>
      <c r="D372" s="24"/>
      <c r="E372" s="24"/>
      <c r="F372" s="24"/>
      <c r="G372" s="24"/>
      <c r="H372" s="24"/>
      <c r="I372" s="24"/>
      <c r="J372" s="27"/>
      <c r="K372" s="24"/>
      <c r="L372" s="24"/>
      <c r="M372" s="24"/>
      <c r="N372" s="24"/>
      <c r="O372" s="24"/>
      <c r="P372" s="26"/>
      <c r="Q372" s="26"/>
      <c r="R372" s="26"/>
      <c r="S372" s="34" t="str">
        <f>IF(OR($C372="",$P372=""),"",MAX(0,ROUND(($P372-$C372)*1440,0)))</f>
        <v/>
      </c>
      <c r="T372" s="34" t="str">
        <f>IF(OR($P372="",$Q372=""),"",MAX(0,ROUND(($Q372-$P372)*1440,0)))</f>
        <v/>
      </c>
      <c r="U372" s="34" t="str">
        <f>IF(OR($Q372="",$R372=""),"",MAX(0,ROUND(($R372-$Q372)*1440,0)))</f>
        <v/>
      </c>
      <c r="V372" s="35" t="str">
        <f>IF($A372="","",IF($O372="No-show","Sim","Não"))</f>
        <v/>
      </c>
      <c r="W372" s="32"/>
    </row>
    <row r="373" spans="1:23" x14ac:dyDescent="0.25">
      <c r="A373" s="24"/>
      <c r="B373" s="25"/>
      <c r="C373" s="26"/>
      <c r="D373" s="24"/>
      <c r="E373" s="24"/>
      <c r="F373" s="24"/>
      <c r="G373" s="24"/>
      <c r="H373" s="24"/>
      <c r="I373" s="24"/>
      <c r="J373" s="27"/>
      <c r="K373" s="24"/>
      <c r="L373" s="24"/>
      <c r="M373" s="24"/>
      <c r="N373" s="24"/>
      <c r="O373" s="24"/>
      <c r="P373" s="26"/>
      <c r="Q373" s="26"/>
      <c r="R373" s="26"/>
      <c r="S373" s="34" t="str">
        <f>IF(OR($C373="",$P373=""),"",MAX(0,ROUND(($P373-$C373)*1440,0)))</f>
        <v/>
      </c>
      <c r="T373" s="34" t="str">
        <f>IF(OR($P373="",$Q373=""),"",MAX(0,ROUND(($Q373-$P373)*1440,0)))</f>
        <v/>
      </c>
      <c r="U373" s="34" t="str">
        <f>IF(OR($Q373="",$R373=""),"",MAX(0,ROUND(($R373-$Q373)*1440,0)))</f>
        <v/>
      </c>
      <c r="V373" s="35" t="str">
        <f>IF($A373="","",IF($O373="No-show","Sim","Não"))</f>
        <v/>
      </c>
      <c r="W373" s="32"/>
    </row>
    <row r="374" spans="1:23" x14ac:dyDescent="0.25">
      <c r="A374" s="24"/>
      <c r="B374" s="25"/>
      <c r="C374" s="26"/>
      <c r="D374" s="24"/>
      <c r="E374" s="24"/>
      <c r="F374" s="24"/>
      <c r="G374" s="24"/>
      <c r="H374" s="24"/>
      <c r="I374" s="24"/>
      <c r="J374" s="27"/>
      <c r="K374" s="24"/>
      <c r="L374" s="24"/>
      <c r="M374" s="24"/>
      <c r="N374" s="24"/>
      <c r="O374" s="24"/>
      <c r="P374" s="26"/>
      <c r="Q374" s="26"/>
      <c r="R374" s="26"/>
      <c r="S374" s="34" t="str">
        <f>IF(OR($C374="",$P374=""),"",MAX(0,ROUND(($P374-$C374)*1440,0)))</f>
        <v/>
      </c>
      <c r="T374" s="34" t="str">
        <f>IF(OR($P374="",$Q374=""),"",MAX(0,ROUND(($Q374-$P374)*1440,0)))</f>
        <v/>
      </c>
      <c r="U374" s="34" t="str">
        <f>IF(OR($Q374="",$R374=""),"",MAX(0,ROUND(($R374-$Q374)*1440,0)))</f>
        <v/>
      </c>
      <c r="V374" s="35" t="str">
        <f>IF($A374="","",IF($O374="No-show","Sim","Não"))</f>
        <v/>
      </c>
      <c r="W374" s="32"/>
    </row>
    <row r="375" spans="1:23" x14ac:dyDescent="0.25">
      <c r="A375" s="24"/>
      <c r="B375" s="25"/>
      <c r="C375" s="26"/>
      <c r="D375" s="24"/>
      <c r="E375" s="24"/>
      <c r="F375" s="24"/>
      <c r="G375" s="24"/>
      <c r="H375" s="24"/>
      <c r="I375" s="24"/>
      <c r="J375" s="27"/>
      <c r="K375" s="24"/>
      <c r="L375" s="24"/>
      <c r="M375" s="24"/>
      <c r="N375" s="24"/>
      <c r="O375" s="24"/>
      <c r="P375" s="26"/>
      <c r="Q375" s="26"/>
      <c r="R375" s="26"/>
      <c r="S375" s="34" t="str">
        <f>IF(OR($C375="",$P375=""),"",MAX(0,ROUND(($P375-$C375)*1440,0)))</f>
        <v/>
      </c>
      <c r="T375" s="34" t="str">
        <f>IF(OR($P375="",$Q375=""),"",MAX(0,ROUND(($Q375-$P375)*1440,0)))</f>
        <v/>
      </c>
      <c r="U375" s="34" t="str">
        <f>IF(OR($Q375="",$R375=""),"",MAX(0,ROUND(($R375-$Q375)*1440,0)))</f>
        <v/>
      </c>
      <c r="V375" s="35" t="str">
        <f>IF($A375="","",IF($O375="No-show","Sim","Não"))</f>
        <v/>
      </c>
      <c r="W375" s="32"/>
    </row>
    <row r="376" spans="1:23" x14ac:dyDescent="0.25">
      <c r="A376" s="24"/>
      <c r="B376" s="25"/>
      <c r="C376" s="26"/>
      <c r="D376" s="24"/>
      <c r="E376" s="24"/>
      <c r="F376" s="24"/>
      <c r="G376" s="24"/>
      <c r="H376" s="24"/>
      <c r="I376" s="24"/>
      <c r="J376" s="27"/>
      <c r="K376" s="24"/>
      <c r="L376" s="24"/>
      <c r="M376" s="24"/>
      <c r="N376" s="24"/>
      <c r="O376" s="24"/>
      <c r="P376" s="26"/>
      <c r="Q376" s="26"/>
      <c r="R376" s="26"/>
      <c r="S376" s="34" t="str">
        <f>IF(OR($C376="",$P376=""),"",MAX(0,ROUND(($P376-$C376)*1440,0)))</f>
        <v/>
      </c>
      <c r="T376" s="34" t="str">
        <f>IF(OR($P376="",$Q376=""),"",MAX(0,ROUND(($Q376-$P376)*1440,0)))</f>
        <v/>
      </c>
      <c r="U376" s="34" t="str">
        <f>IF(OR($Q376="",$R376=""),"",MAX(0,ROUND(($R376-$Q376)*1440,0)))</f>
        <v/>
      </c>
      <c r="V376" s="35" t="str">
        <f>IF($A376="","",IF($O376="No-show","Sim","Não"))</f>
        <v/>
      </c>
      <c r="W376" s="32"/>
    </row>
    <row r="377" spans="1:23" x14ac:dyDescent="0.25">
      <c r="A377" s="24"/>
      <c r="B377" s="25"/>
      <c r="C377" s="26"/>
      <c r="D377" s="24"/>
      <c r="E377" s="24"/>
      <c r="F377" s="24"/>
      <c r="G377" s="24"/>
      <c r="H377" s="24"/>
      <c r="I377" s="24"/>
      <c r="J377" s="27"/>
      <c r="K377" s="24"/>
      <c r="L377" s="24"/>
      <c r="M377" s="24"/>
      <c r="N377" s="24"/>
      <c r="O377" s="24"/>
      <c r="P377" s="26"/>
      <c r="Q377" s="26"/>
      <c r="R377" s="26"/>
      <c r="S377" s="34" t="str">
        <f>IF(OR($C377="",$P377=""),"",MAX(0,ROUND(($P377-$C377)*1440,0)))</f>
        <v/>
      </c>
      <c r="T377" s="34" t="str">
        <f>IF(OR($P377="",$Q377=""),"",MAX(0,ROUND(($Q377-$P377)*1440,0)))</f>
        <v/>
      </c>
      <c r="U377" s="34" t="str">
        <f>IF(OR($Q377="",$R377=""),"",MAX(0,ROUND(($R377-$Q377)*1440,0)))</f>
        <v/>
      </c>
      <c r="V377" s="35" t="str">
        <f>IF($A377="","",IF($O377="No-show","Sim","Não"))</f>
        <v/>
      </c>
      <c r="W377" s="32"/>
    </row>
    <row r="378" spans="1:23" x14ac:dyDescent="0.25">
      <c r="A378" s="24"/>
      <c r="B378" s="25"/>
      <c r="C378" s="26"/>
      <c r="D378" s="24"/>
      <c r="E378" s="24"/>
      <c r="F378" s="24"/>
      <c r="G378" s="24"/>
      <c r="H378" s="24"/>
      <c r="I378" s="24"/>
      <c r="J378" s="27"/>
      <c r="K378" s="24"/>
      <c r="L378" s="24"/>
      <c r="M378" s="24"/>
      <c r="N378" s="24"/>
      <c r="O378" s="24"/>
      <c r="P378" s="26"/>
      <c r="Q378" s="26"/>
      <c r="R378" s="26"/>
      <c r="S378" s="34" t="str">
        <f>IF(OR($C378="",$P378=""),"",MAX(0,ROUND(($P378-$C378)*1440,0)))</f>
        <v/>
      </c>
      <c r="T378" s="34" t="str">
        <f>IF(OR($P378="",$Q378=""),"",MAX(0,ROUND(($Q378-$P378)*1440,0)))</f>
        <v/>
      </c>
      <c r="U378" s="34" t="str">
        <f>IF(OR($Q378="",$R378=""),"",MAX(0,ROUND(($R378-$Q378)*1440,0)))</f>
        <v/>
      </c>
      <c r="V378" s="35" t="str">
        <f>IF($A378="","",IF($O378="No-show","Sim","Não"))</f>
        <v/>
      </c>
      <c r="W378" s="32"/>
    </row>
    <row r="379" spans="1:23" x14ac:dyDescent="0.25">
      <c r="A379" s="24"/>
      <c r="B379" s="25"/>
      <c r="C379" s="26"/>
      <c r="D379" s="24"/>
      <c r="E379" s="24"/>
      <c r="F379" s="24"/>
      <c r="G379" s="24"/>
      <c r="H379" s="24"/>
      <c r="I379" s="24"/>
      <c r="J379" s="27"/>
      <c r="K379" s="24"/>
      <c r="L379" s="24"/>
      <c r="M379" s="24"/>
      <c r="N379" s="24"/>
      <c r="O379" s="24"/>
      <c r="P379" s="26"/>
      <c r="Q379" s="26"/>
      <c r="R379" s="26"/>
      <c r="S379" s="34" t="str">
        <f>IF(OR($C379="",$P379=""),"",MAX(0,ROUND(($P379-$C379)*1440,0)))</f>
        <v/>
      </c>
      <c r="T379" s="34" t="str">
        <f>IF(OR($P379="",$Q379=""),"",MAX(0,ROUND(($Q379-$P379)*1440,0)))</f>
        <v/>
      </c>
      <c r="U379" s="34" t="str">
        <f>IF(OR($Q379="",$R379=""),"",MAX(0,ROUND(($R379-$Q379)*1440,0)))</f>
        <v/>
      </c>
      <c r="V379" s="35" t="str">
        <f>IF($A379="","",IF($O379="No-show","Sim","Não"))</f>
        <v/>
      </c>
      <c r="W379" s="32"/>
    </row>
    <row r="380" spans="1:23" x14ac:dyDescent="0.25">
      <c r="A380" s="24"/>
      <c r="B380" s="25"/>
      <c r="C380" s="26"/>
      <c r="D380" s="24"/>
      <c r="E380" s="24"/>
      <c r="F380" s="24"/>
      <c r="G380" s="24"/>
      <c r="H380" s="24"/>
      <c r="I380" s="24"/>
      <c r="J380" s="27"/>
      <c r="K380" s="24"/>
      <c r="L380" s="24"/>
      <c r="M380" s="24"/>
      <c r="N380" s="24"/>
      <c r="O380" s="24"/>
      <c r="P380" s="26"/>
      <c r="Q380" s="26"/>
      <c r="R380" s="26"/>
      <c r="S380" s="34" t="str">
        <f>IF(OR($C380="",$P380=""),"",MAX(0,ROUND(($P380-$C380)*1440,0)))</f>
        <v/>
      </c>
      <c r="T380" s="34" t="str">
        <f>IF(OR($P380="",$Q380=""),"",MAX(0,ROUND(($Q380-$P380)*1440,0)))</f>
        <v/>
      </c>
      <c r="U380" s="34" t="str">
        <f>IF(OR($Q380="",$R380=""),"",MAX(0,ROUND(($R380-$Q380)*1440,0)))</f>
        <v/>
      </c>
      <c r="V380" s="35" t="str">
        <f>IF($A380="","",IF($O380="No-show","Sim","Não"))</f>
        <v/>
      </c>
      <c r="W380" s="32"/>
    </row>
    <row r="381" spans="1:23" x14ac:dyDescent="0.25">
      <c r="A381" s="24"/>
      <c r="B381" s="25"/>
      <c r="C381" s="26"/>
      <c r="D381" s="24"/>
      <c r="E381" s="24"/>
      <c r="F381" s="24"/>
      <c r="G381" s="24"/>
      <c r="H381" s="24"/>
      <c r="I381" s="24"/>
      <c r="J381" s="27"/>
      <c r="K381" s="24"/>
      <c r="L381" s="24"/>
      <c r="M381" s="24"/>
      <c r="N381" s="24"/>
      <c r="O381" s="24"/>
      <c r="P381" s="26"/>
      <c r="Q381" s="26"/>
      <c r="R381" s="26"/>
      <c r="S381" s="34" t="str">
        <f>IF(OR($C381="",$P381=""),"",MAX(0,ROUND(($P381-$C381)*1440,0)))</f>
        <v/>
      </c>
      <c r="T381" s="34" t="str">
        <f>IF(OR($P381="",$Q381=""),"",MAX(0,ROUND(($Q381-$P381)*1440,0)))</f>
        <v/>
      </c>
      <c r="U381" s="34" t="str">
        <f>IF(OR($Q381="",$R381=""),"",MAX(0,ROUND(($R381-$Q381)*1440,0)))</f>
        <v/>
      </c>
      <c r="V381" s="35" t="str">
        <f>IF($A381="","",IF($O381="No-show","Sim","Não"))</f>
        <v/>
      </c>
      <c r="W381" s="32"/>
    </row>
    <row r="382" spans="1:23" x14ac:dyDescent="0.25">
      <c r="A382" s="24"/>
      <c r="B382" s="25"/>
      <c r="C382" s="26"/>
      <c r="D382" s="24"/>
      <c r="E382" s="24"/>
      <c r="F382" s="24"/>
      <c r="G382" s="24"/>
      <c r="H382" s="24"/>
      <c r="I382" s="24"/>
      <c r="J382" s="27"/>
      <c r="K382" s="24"/>
      <c r="L382" s="24"/>
      <c r="M382" s="24"/>
      <c r="N382" s="24"/>
      <c r="O382" s="24"/>
      <c r="P382" s="26"/>
      <c r="Q382" s="26"/>
      <c r="R382" s="26"/>
      <c r="S382" s="34" t="str">
        <f>IF(OR($C382="",$P382=""),"",MAX(0,ROUND(($P382-$C382)*1440,0)))</f>
        <v/>
      </c>
      <c r="T382" s="34" t="str">
        <f>IF(OR($P382="",$Q382=""),"",MAX(0,ROUND(($Q382-$P382)*1440,0)))</f>
        <v/>
      </c>
      <c r="U382" s="34" t="str">
        <f>IF(OR($Q382="",$R382=""),"",MAX(0,ROUND(($R382-$Q382)*1440,0)))</f>
        <v/>
      </c>
      <c r="V382" s="35" t="str">
        <f>IF($A382="","",IF($O382="No-show","Sim","Não"))</f>
        <v/>
      </c>
      <c r="W382" s="32"/>
    </row>
    <row r="383" spans="1:23" x14ac:dyDescent="0.25">
      <c r="A383" s="24"/>
      <c r="B383" s="25"/>
      <c r="C383" s="26"/>
      <c r="D383" s="24"/>
      <c r="E383" s="24"/>
      <c r="F383" s="24"/>
      <c r="G383" s="24"/>
      <c r="H383" s="24"/>
      <c r="I383" s="24"/>
      <c r="J383" s="27"/>
      <c r="K383" s="24"/>
      <c r="L383" s="24"/>
      <c r="M383" s="24"/>
      <c r="N383" s="24"/>
      <c r="O383" s="24"/>
      <c r="P383" s="26"/>
      <c r="Q383" s="26"/>
      <c r="R383" s="26"/>
      <c r="S383" s="34" t="str">
        <f>IF(OR($C383="",$P383=""),"",MAX(0,ROUND(($P383-$C383)*1440,0)))</f>
        <v/>
      </c>
      <c r="T383" s="34" t="str">
        <f>IF(OR($P383="",$Q383=""),"",MAX(0,ROUND(($Q383-$P383)*1440,0)))</f>
        <v/>
      </c>
      <c r="U383" s="34" t="str">
        <f>IF(OR($Q383="",$R383=""),"",MAX(0,ROUND(($R383-$Q383)*1440,0)))</f>
        <v/>
      </c>
      <c r="V383" s="35" t="str">
        <f>IF($A383="","",IF($O383="No-show","Sim","Não"))</f>
        <v/>
      </c>
      <c r="W383" s="32"/>
    </row>
    <row r="384" spans="1:23" x14ac:dyDescent="0.25">
      <c r="A384" s="24"/>
      <c r="B384" s="25"/>
      <c r="C384" s="26"/>
      <c r="D384" s="24"/>
      <c r="E384" s="24"/>
      <c r="F384" s="24"/>
      <c r="G384" s="24"/>
      <c r="H384" s="24"/>
      <c r="I384" s="24"/>
      <c r="J384" s="27"/>
      <c r="K384" s="24"/>
      <c r="L384" s="24"/>
      <c r="M384" s="24"/>
      <c r="N384" s="24"/>
      <c r="O384" s="24"/>
      <c r="P384" s="26"/>
      <c r="Q384" s="26"/>
      <c r="R384" s="26"/>
      <c r="S384" s="34" t="str">
        <f>IF(OR($C384="",$P384=""),"",MAX(0,ROUND(($P384-$C384)*1440,0)))</f>
        <v/>
      </c>
      <c r="T384" s="34" t="str">
        <f>IF(OR($P384="",$Q384=""),"",MAX(0,ROUND(($Q384-$P384)*1440,0)))</f>
        <v/>
      </c>
      <c r="U384" s="34" t="str">
        <f>IF(OR($Q384="",$R384=""),"",MAX(0,ROUND(($R384-$Q384)*1440,0)))</f>
        <v/>
      </c>
      <c r="V384" s="35" t="str">
        <f>IF($A384="","",IF($O384="No-show","Sim","Não"))</f>
        <v/>
      </c>
      <c r="W384" s="32"/>
    </row>
    <row r="385" spans="1:23" x14ac:dyDescent="0.25">
      <c r="A385" s="24"/>
      <c r="B385" s="25"/>
      <c r="C385" s="26"/>
      <c r="D385" s="24"/>
      <c r="E385" s="24"/>
      <c r="F385" s="24"/>
      <c r="G385" s="24"/>
      <c r="H385" s="24"/>
      <c r="I385" s="24"/>
      <c r="J385" s="27"/>
      <c r="K385" s="24"/>
      <c r="L385" s="24"/>
      <c r="M385" s="24"/>
      <c r="N385" s="24"/>
      <c r="O385" s="24"/>
      <c r="P385" s="26"/>
      <c r="Q385" s="26"/>
      <c r="R385" s="26"/>
      <c r="S385" s="34" t="str">
        <f>IF(OR($C385="",$P385=""),"",MAX(0,ROUND(($P385-$C385)*1440,0)))</f>
        <v/>
      </c>
      <c r="T385" s="34" t="str">
        <f>IF(OR($P385="",$Q385=""),"",MAX(0,ROUND(($Q385-$P385)*1440,0)))</f>
        <v/>
      </c>
      <c r="U385" s="34" t="str">
        <f>IF(OR($Q385="",$R385=""),"",MAX(0,ROUND(($R385-$Q385)*1440,0)))</f>
        <v/>
      </c>
      <c r="V385" s="35" t="str">
        <f>IF($A385="","",IF($O385="No-show","Sim","Não"))</f>
        <v/>
      </c>
      <c r="W385" s="32"/>
    </row>
    <row r="386" spans="1:23" x14ac:dyDescent="0.25">
      <c r="A386" s="24"/>
      <c r="B386" s="25"/>
      <c r="C386" s="26"/>
      <c r="D386" s="24"/>
      <c r="E386" s="24"/>
      <c r="F386" s="24"/>
      <c r="G386" s="24"/>
      <c r="H386" s="24"/>
      <c r="I386" s="24"/>
      <c r="J386" s="27"/>
      <c r="K386" s="24"/>
      <c r="L386" s="24"/>
      <c r="M386" s="24"/>
      <c r="N386" s="24"/>
      <c r="O386" s="24"/>
      <c r="P386" s="26"/>
      <c r="Q386" s="26"/>
      <c r="R386" s="26"/>
      <c r="S386" s="34" t="str">
        <f>IF(OR($C386="",$P386=""),"",MAX(0,ROUND(($P386-$C386)*1440,0)))</f>
        <v/>
      </c>
      <c r="T386" s="34" t="str">
        <f>IF(OR($P386="",$Q386=""),"",MAX(0,ROUND(($Q386-$P386)*1440,0)))</f>
        <v/>
      </c>
      <c r="U386" s="34" t="str">
        <f>IF(OR($Q386="",$R386=""),"",MAX(0,ROUND(($R386-$Q386)*1440,0)))</f>
        <v/>
      </c>
      <c r="V386" s="35" t="str">
        <f>IF($A386="","",IF($O386="No-show","Sim","Não"))</f>
        <v/>
      </c>
      <c r="W386" s="32"/>
    </row>
    <row r="387" spans="1:23" x14ac:dyDescent="0.25">
      <c r="A387" s="24"/>
      <c r="B387" s="25"/>
      <c r="C387" s="26"/>
      <c r="D387" s="24"/>
      <c r="E387" s="24"/>
      <c r="F387" s="24"/>
      <c r="G387" s="24"/>
      <c r="H387" s="24"/>
      <c r="I387" s="24"/>
      <c r="J387" s="27"/>
      <c r="K387" s="24"/>
      <c r="L387" s="24"/>
      <c r="M387" s="24"/>
      <c r="N387" s="24"/>
      <c r="O387" s="24"/>
      <c r="P387" s="26"/>
      <c r="Q387" s="26"/>
      <c r="R387" s="26"/>
      <c r="S387" s="34" t="str">
        <f>IF(OR($C387="",$P387=""),"",MAX(0,ROUND(($P387-$C387)*1440,0)))</f>
        <v/>
      </c>
      <c r="T387" s="34" t="str">
        <f>IF(OR($P387="",$Q387=""),"",MAX(0,ROUND(($Q387-$P387)*1440,0)))</f>
        <v/>
      </c>
      <c r="U387" s="34" t="str">
        <f>IF(OR($Q387="",$R387=""),"",MAX(0,ROUND(($R387-$Q387)*1440,0)))</f>
        <v/>
      </c>
      <c r="V387" s="35" t="str">
        <f>IF($A387="","",IF($O387="No-show","Sim","Não"))</f>
        <v/>
      </c>
      <c r="W387" s="32"/>
    </row>
    <row r="388" spans="1:23" x14ac:dyDescent="0.25">
      <c r="A388" s="24"/>
      <c r="B388" s="25"/>
      <c r="C388" s="26"/>
      <c r="D388" s="24"/>
      <c r="E388" s="24"/>
      <c r="F388" s="24"/>
      <c r="G388" s="24"/>
      <c r="H388" s="24"/>
      <c r="I388" s="24"/>
      <c r="J388" s="27"/>
      <c r="K388" s="24"/>
      <c r="L388" s="24"/>
      <c r="M388" s="24"/>
      <c r="N388" s="24"/>
      <c r="O388" s="24"/>
      <c r="P388" s="26"/>
      <c r="Q388" s="26"/>
      <c r="R388" s="26"/>
      <c r="S388" s="34" t="str">
        <f>IF(OR($C388="",$P388=""),"",MAX(0,ROUND(($P388-$C388)*1440,0)))</f>
        <v/>
      </c>
      <c r="T388" s="34" t="str">
        <f>IF(OR($P388="",$Q388=""),"",MAX(0,ROUND(($Q388-$P388)*1440,0)))</f>
        <v/>
      </c>
      <c r="U388" s="34" t="str">
        <f>IF(OR($Q388="",$R388=""),"",MAX(0,ROUND(($R388-$Q388)*1440,0)))</f>
        <v/>
      </c>
      <c r="V388" s="35" t="str">
        <f>IF($A388="","",IF($O388="No-show","Sim","Não"))</f>
        <v/>
      </c>
      <c r="W388" s="32"/>
    </row>
    <row r="389" spans="1:23" x14ac:dyDescent="0.25">
      <c r="A389" s="24"/>
      <c r="B389" s="25"/>
      <c r="C389" s="26"/>
      <c r="D389" s="24"/>
      <c r="E389" s="24"/>
      <c r="F389" s="24"/>
      <c r="G389" s="24"/>
      <c r="H389" s="24"/>
      <c r="I389" s="24"/>
      <c r="J389" s="27"/>
      <c r="K389" s="24"/>
      <c r="L389" s="24"/>
      <c r="M389" s="24"/>
      <c r="N389" s="24"/>
      <c r="O389" s="24"/>
      <c r="P389" s="26"/>
      <c r="Q389" s="26"/>
      <c r="R389" s="26"/>
      <c r="S389" s="34" t="str">
        <f>IF(OR($C389="",$P389=""),"",MAX(0,ROUND(($P389-$C389)*1440,0)))</f>
        <v/>
      </c>
      <c r="T389" s="34" t="str">
        <f>IF(OR($P389="",$Q389=""),"",MAX(0,ROUND(($Q389-$P389)*1440,0)))</f>
        <v/>
      </c>
      <c r="U389" s="34" t="str">
        <f>IF(OR($Q389="",$R389=""),"",MAX(0,ROUND(($R389-$Q389)*1440,0)))</f>
        <v/>
      </c>
      <c r="V389" s="35" t="str">
        <f>IF($A389="","",IF($O389="No-show","Sim","Não"))</f>
        <v/>
      </c>
      <c r="W389" s="32"/>
    </row>
    <row r="390" spans="1:23" x14ac:dyDescent="0.25">
      <c r="A390" s="24"/>
      <c r="B390" s="25"/>
      <c r="C390" s="26"/>
      <c r="D390" s="24"/>
      <c r="E390" s="24"/>
      <c r="F390" s="24"/>
      <c r="G390" s="24"/>
      <c r="H390" s="24"/>
      <c r="I390" s="24"/>
      <c r="J390" s="27"/>
      <c r="K390" s="24"/>
      <c r="L390" s="24"/>
      <c r="M390" s="24"/>
      <c r="N390" s="24"/>
      <c r="O390" s="24"/>
      <c r="P390" s="26"/>
      <c r="Q390" s="26"/>
      <c r="R390" s="26"/>
      <c r="S390" s="34" t="str">
        <f>IF(OR($C390="",$P390=""),"",MAX(0,ROUND(($P390-$C390)*1440,0)))</f>
        <v/>
      </c>
      <c r="T390" s="34" t="str">
        <f>IF(OR($P390="",$Q390=""),"",MAX(0,ROUND(($Q390-$P390)*1440,0)))</f>
        <v/>
      </c>
      <c r="U390" s="34" t="str">
        <f>IF(OR($Q390="",$R390=""),"",MAX(0,ROUND(($R390-$Q390)*1440,0)))</f>
        <v/>
      </c>
      <c r="V390" s="35" t="str">
        <f>IF($A390="","",IF($O390="No-show","Sim","Não"))</f>
        <v/>
      </c>
      <c r="W390" s="32"/>
    </row>
    <row r="391" spans="1:23" x14ac:dyDescent="0.25">
      <c r="A391" s="24"/>
      <c r="B391" s="25"/>
      <c r="C391" s="26"/>
      <c r="D391" s="24"/>
      <c r="E391" s="24"/>
      <c r="F391" s="24"/>
      <c r="G391" s="24"/>
      <c r="H391" s="24"/>
      <c r="I391" s="24"/>
      <c r="J391" s="27"/>
      <c r="K391" s="24"/>
      <c r="L391" s="24"/>
      <c r="M391" s="24"/>
      <c r="N391" s="24"/>
      <c r="O391" s="24"/>
      <c r="P391" s="26"/>
      <c r="Q391" s="26"/>
      <c r="R391" s="26"/>
      <c r="S391" s="34" t="str">
        <f>IF(OR($C391="",$P391=""),"",MAX(0,ROUND(($P391-$C391)*1440,0)))</f>
        <v/>
      </c>
      <c r="T391" s="34" t="str">
        <f>IF(OR($P391="",$Q391=""),"",MAX(0,ROUND(($Q391-$P391)*1440,0)))</f>
        <v/>
      </c>
      <c r="U391" s="34" t="str">
        <f>IF(OR($Q391="",$R391=""),"",MAX(0,ROUND(($R391-$Q391)*1440,0)))</f>
        <v/>
      </c>
      <c r="V391" s="35" t="str">
        <f>IF($A391="","",IF($O391="No-show","Sim","Não"))</f>
        <v/>
      </c>
      <c r="W391" s="32"/>
    </row>
    <row r="392" spans="1:23" x14ac:dyDescent="0.25">
      <c r="A392" s="24"/>
      <c r="B392" s="25"/>
      <c r="C392" s="26"/>
      <c r="D392" s="24"/>
      <c r="E392" s="24"/>
      <c r="F392" s="24"/>
      <c r="G392" s="24"/>
      <c r="H392" s="24"/>
      <c r="I392" s="24"/>
      <c r="J392" s="27"/>
      <c r="K392" s="24"/>
      <c r="L392" s="24"/>
      <c r="M392" s="24"/>
      <c r="N392" s="24"/>
      <c r="O392" s="24"/>
      <c r="P392" s="26"/>
      <c r="Q392" s="26"/>
      <c r="R392" s="26"/>
      <c r="S392" s="34" t="str">
        <f>IF(OR($C392="",$P392=""),"",MAX(0,ROUND(($P392-$C392)*1440,0)))</f>
        <v/>
      </c>
      <c r="T392" s="34" t="str">
        <f>IF(OR($P392="",$Q392=""),"",MAX(0,ROUND(($Q392-$P392)*1440,0)))</f>
        <v/>
      </c>
      <c r="U392" s="34" t="str">
        <f>IF(OR($Q392="",$R392=""),"",MAX(0,ROUND(($R392-$Q392)*1440,0)))</f>
        <v/>
      </c>
      <c r="V392" s="35" t="str">
        <f>IF($A392="","",IF($O392="No-show","Sim","Não"))</f>
        <v/>
      </c>
      <c r="W392" s="32"/>
    </row>
    <row r="393" spans="1:23" x14ac:dyDescent="0.25">
      <c r="A393" s="24"/>
      <c r="B393" s="25"/>
      <c r="C393" s="26"/>
      <c r="D393" s="24"/>
      <c r="E393" s="24"/>
      <c r="F393" s="24"/>
      <c r="G393" s="24"/>
      <c r="H393" s="24"/>
      <c r="I393" s="24"/>
      <c r="J393" s="27"/>
      <c r="K393" s="24"/>
      <c r="L393" s="24"/>
      <c r="M393" s="24"/>
      <c r="N393" s="24"/>
      <c r="O393" s="24"/>
      <c r="P393" s="26"/>
      <c r="Q393" s="26"/>
      <c r="R393" s="26"/>
      <c r="S393" s="34" t="str">
        <f>IF(OR($C393="",$P393=""),"",MAX(0,ROUND(($P393-$C393)*1440,0)))</f>
        <v/>
      </c>
      <c r="T393" s="34" t="str">
        <f>IF(OR($P393="",$Q393=""),"",MAX(0,ROUND(($Q393-$P393)*1440,0)))</f>
        <v/>
      </c>
      <c r="U393" s="34" t="str">
        <f>IF(OR($Q393="",$R393=""),"",MAX(0,ROUND(($R393-$Q393)*1440,0)))</f>
        <v/>
      </c>
      <c r="V393" s="35" t="str">
        <f>IF($A393="","",IF($O393="No-show","Sim","Não"))</f>
        <v/>
      </c>
      <c r="W393" s="32"/>
    </row>
    <row r="394" spans="1:23" x14ac:dyDescent="0.25">
      <c r="A394" s="24"/>
      <c r="B394" s="25"/>
      <c r="C394" s="26"/>
      <c r="D394" s="24"/>
      <c r="E394" s="24"/>
      <c r="F394" s="24"/>
      <c r="G394" s="24"/>
      <c r="H394" s="24"/>
      <c r="I394" s="24"/>
      <c r="J394" s="27"/>
      <c r="K394" s="24"/>
      <c r="L394" s="24"/>
      <c r="M394" s="24"/>
      <c r="N394" s="24"/>
      <c r="O394" s="24"/>
      <c r="P394" s="26"/>
      <c r="Q394" s="26"/>
      <c r="R394" s="26"/>
      <c r="S394" s="34" t="str">
        <f>IF(OR($C394="",$P394=""),"",MAX(0,ROUND(($P394-$C394)*1440,0)))</f>
        <v/>
      </c>
      <c r="T394" s="34" t="str">
        <f>IF(OR($P394="",$Q394=""),"",MAX(0,ROUND(($Q394-$P394)*1440,0)))</f>
        <v/>
      </c>
      <c r="U394" s="34" t="str">
        <f>IF(OR($Q394="",$R394=""),"",MAX(0,ROUND(($R394-$Q394)*1440,0)))</f>
        <v/>
      </c>
      <c r="V394" s="35" t="str">
        <f>IF($A394="","",IF($O394="No-show","Sim","Não"))</f>
        <v/>
      </c>
      <c r="W394" s="32"/>
    </row>
    <row r="395" spans="1:23" x14ac:dyDescent="0.25">
      <c r="A395" s="24"/>
      <c r="B395" s="25"/>
      <c r="C395" s="26"/>
      <c r="D395" s="24"/>
      <c r="E395" s="24"/>
      <c r="F395" s="24"/>
      <c r="G395" s="24"/>
      <c r="H395" s="24"/>
      <c r="I395" s="24"/>
      <c r="J395" s="27"/>
      <c r="K395" s="24"/>
      <c r="L395" s="24"/>
      <c r="M395" s="24"/>
      <c r="N395" s="24"/>
      <c r="O395" s="24"/>
      <c r="P395" s="26"/>
      <c r="Q395" s="26"/>
      <c r="R395" s="26"/>
      <c r="S395" s="34" t="str">
        <f>IF(OR($C395="",$P395=""),"",MAX(0,ROUND(($P395-$C395)*1440,0)))</f>
        <v/>
      </c>
      <c r="T395" s="34" t="str">
        <f>IF(OR($P395="",$Q395=""),"",MAX(0,ROUND(($Q395-$P395)*1440,0)))</f>
        <v/>
      </c>
      <c r="U395" s="34" t="str">
        <f>IF(OR($Q395="",$R395=""),"",MAX(0,ROUND(($R395-$Q395)*1440,0)))</f>
        <v/>
      </c>
      <c r="V395" s="35" t="str">
        <f>IF($A395="","",IF($O395="No-show","Sim","Não"))</f>
        <v/>
      </c>
      <c r="W395" s="32"/>
    </row>
    <row r="396" spans="1:23" x14ac:dyDescent="0.25">
      <c r="A396" s="24"/>
      <c r="B396" s="25"/>
      <c r="C396" s="26"/>
      <c r="D396" s="24"/>
      <c r="E396" s="24"/>
      <c r="F396" s="24"/>
      <c r="G396" s="24"/>
      <c r="H396" s="24"/>
      <c r="I396" s="24"/>
      <c r="J396" s="27"/>
      <c r="K396" s="24"/>
      <c r="L396" s="24"/>
      <c r="M396" s="24"/>
      <c r="N396" s="24"/>
      <c r="O396" s="24"/>
      <c r="P396" s="26"/>
      <c r="Q396" s="26"/>
      <c r="R396" s="26"/>
      <c r="S396" s="34" t="str">
        <f>IF(OR($C396="",$P396=""),"",MAX(0,ROUND(($P396-$C396)*1440,0)))</f>
        <v/>
      </c>
      <c r="T396" s="34" t="str">
        <f>IF(OR($P396="",$Q396=""),"",MAX(0,ROUND(($Q396-$P396)*1440,0)))</f>
        <v/>
      </c>
      <c r="U396" s="34" t="str">
        <f>IF(OR($Q396="",$R396=""),"",MAX(0,ROUND(($R396-$Q396)*1440,0)))</f>
        <v/>
      </c>
      <c r="V396" s="35" t="str">
        <f>IF($A396="","",IF($O396="No-show","Sim","Não"))</f>
        <v/>
      </c>
      <c r="W396" s="32"/>
    </row>
    <row r="397" spans="1:23" x14ac:dyDescent="0.25">
      <c r="A397" s="24"/>
      <c r="B397" s="25"/>
      <c r="C397" s="26"/>
      <c r="D397" s="24"/>
      <c r="E397" s="24"/>
      <c r="F397" s="24"/>
      <c r="G397" s="24"/>
      <c r="H397" s="24"/>
      <c r="I397" s="24"/>
      <c r="J397" s="27"/>
      <c r="K397" s="24"/>
      <c r="L397" s="24"/>
      <c r="M397" s="24"/>
      <c r="N397" s="24"/>
      <c r="O397" s="24"/>
      <c r="P397" s="26"/>
      <c r="Q397" s="26"/>
      <c r="R397" s="26"/>
      <c r="S397" s="34" t="str">
        <f>IF(OR($C397="",$P397=""),"",MAX(0,ROUND(($P397-$C397)*1440,0)))</f>
        <v/>
      </c>
      <c r="T397" s="34" t="str">
        <f>IF(OR($P397="",$Q397=""),"",MAX(0,ROUND(($Q397-$P397)*1440,0)))</f>
        <v/>
      </c>
      <c r="U397" s="34" t="str">
        <f>IF(OR($Q397="",$R397=""),"",MAX(0,ROUND(($R397-$Q397)*1440,0)))</f>
        <v/>
      </c>
      <c r="V397" s="35" t="str">
        <f>IF($A397="","",IF($O397="No-show","Sim","Não"))</f>
        <v/>
      </c>
      <c r="W397" s="32"/>
    </row>
    <row r="398" spans="1:23" x14ac:dyDescent="0.25">
      <c r="A398" s="24"/>
      <c r="B398" s="25"/>
      <c r="C398" s="26"/>
      <c r="D398" s="24"/>
      <c r="E398" s="24"/>
      <c r="F398" s="24"/>
      <c r="G398" s="24"/>
      <c r="H398" s="24"/>
      <c r="I398" s="24"/>
      <c r="J398" s="27"/>
      <c r="K398" s="24"/>
      <c r="L398" s="24"/>
      <c r="M398" s="24"/>
      <c r="N398" s="24"/>
      <c r="O398" s="24"/>
      <c r="P398" s="26"/>
      <c r="Q398" s="26"/>
      <c r="R398" s="26"/>
      <c r="S398" s="34" t="str">
        <f>IF(OR($C398="",$P398=""),"",MAX(0,ROUND(($P398-$C398)*1440,0)))</f>
        <v/>
      </c>
      <c r="T398" s="34" t="str">
        <f>IF(OR($P398="",$Q398=""),"",MAX(0,ROUND(($Q398-$P398)*1440,0)))</f>
        <v/>
      </c>
      <c r="U398" s="34" t="str">
        <f>IF(OR($Q398="",$R398=""),"",MAX(0,ROUND(($R398-$Q398)*1440,0)))</f>
        <v/>
      </c>
      <c r="V398" s="35" t="str">
        <f>IF($A398="","",IF($O398="No-show","Sim","Não"))</f>
        <v/>
      </c>
      <c r="W398" s="32"/>
    </row>
    <row r="399" spans="1:23" x14ac:dyDescent="0.25">
      <c r="A399" s="24"/>
      <c r="B399" s="25"/>
      <c r="C399" s="26"/>
      <c r="D399" s="24"/>
      <c r="E399" s="24"/>
      <c r="F399" s="24"/>
      <c r="G399" s="24"/>
      <c r="H399" s="24"/>
      <c r="I399" s="24"/>
      <c r="J399" s="27"/>
      <c r="K399" s="24"/>
      <c r="L399" s="24"/>
      <c r="M399" s="24"/>
      <c r="N399" s="24"/>
      <c r="O399" s="24"/>
      <c r="P399" s="26"/>
      <c r="Q399" s="26"/>
      <c r="R399" s="26"/>
      <c r="S399" s="34" t="str">
        <f>IF(OR($C399="",$P399=""),"",MAX(0,ROUND(($P399-$C399)*1440,0)))</f>
        <v/>
      </c>
      <c r="T399" s="34" t="str">
        <f>IF(OR($P399="",$Q399=""),"",MAX(0,ROUND(($Q399-$P399)*1440,0)))</f>
        <v/>
      </c>
      <c r="U399" s="34" t="str">
        <f>IF(OR($Q399="",$R399=""),"",MAX(0,ROUND(($R399-$Q399)*1440,0)))</f>
        <v/>
      </c>
      <c r="V399" s="35" t="str">
        <f>IF($A399="","",IF($O399="No-show","Sim","Não"))</f>
        <v/>
      </c>
      <c r="W399" s="32"/>
    </row>
    <row r="400" spans="1:23" x14ac:dyDescent="0.25">
      <c r="A400" s="24"/>
      <c r="B400" s="25"/>
      <c r="C400" s="26"/>
      <c r="D400" s="24"/>
      <c r="E400" s="24"/>
      <c r="F400" s="24"/>
      <c r="G400" s="24"/>
      <c r="H400" s="24"/>
      <c r="I400" s="24"/>
      <c r="J400" s="27"/>
      <c r="K400" s="24"/>
      <c r="L400" s="24"/>
      <c r="M400" s="24"/>
      <c r="N400" s="24"/>
      <c r="O400" s="24"/>
      <c r="P400" s="26"/>
      <c r="Q400" s="26"/>
      <c r="R400" s="26"/>
      <c r="S400" s="34" t="str">
        <f>IF(OR($C400="",$P400=""),"",MAX(0,ROUND(($P400-$C400)*1440,0)))</f>
        <v/>
      </c>
      <c r="T400" s="34" t="str">
        <f>IF(OR($P400="",$Q400=""),"",MAX(0,ROUND(($Q400-$P400)*1440,0)))</f>
        <v/>
      </c>
      <c r="U400" s="34" t="str">
        <f>IF(OR($Q400="",$R400=""),"",MAX(0,ROUND(($R400-$Q400)*1440,0)))</f>
        <v/>
      </c>
      <c r="V400" s="35" t="str">
        <f>IF($A400="","",IF($O400="No-show","Sim","Não"))</f>
        <v/>
      </c>
      <c r="W400" s="32"/>
    </row>
    <row r="401" spans="1:23" x14ac:dyDescent="0.25">
      <c r="A401" s="24"/>
      <c r="B401" s="25"/>
      <c r="C401" s="26"/>
      <c r="D401" s="24"/>
      <c r="E401" s="24"/>
      <c r="F401" s="24"/>
      <c r="G401" s="24"/>
      <c r="H401" s="24"/>
      <c r="I401" s="24"/>
      <c r="J401" s="27"/>
      <c r="K401" s="24"/>
      <c r="L401" s="24"/>
      <c r="M401" s="24"/>
      <c r="N401" s="24"/>
      <c r="O401" s="24"/>
      <c r="P401" s="26"/>
      <c r="Q401" s="26"/>
      <c r="R401" s="26"/>
      <c r="S401" s="34" t="str">
        <f>IF(OR($C401="",$P401=""),"",MAX(0,ROUND(($P401-$C401)*1440,0)))</f>
        <v/>
      </c>
      <c r="T401" s="34" t="str">
        <f>IF(OR($P401="",$Q401=""),"",MAX(0,ROUND(($Q401-$P401)*1440,0)))</f>
        <v/>
      </c>
      <c r="U401" s="34" t="str">
        <f>IF(OR($Q401="",$R401=""),"",MAX(0,ROUND(($R401-$Q401)*1440,0)))</f>
        <v/>
      </c>
      <c r="V401" s="35" t="str">
        <f>IF($A401="","",IF($O401="No-show","Sim","Não"))</f>
        <v/>
      </c>
      <c r="W401" s="32"/>
    </row>
    <row r="402" spans="1:23" x14ac:dyDescent="0.25">
      <c r="A402" s="24"/>
      <c r="B402" s="25"/>
      <c r="C402" s="26"/>
      <c r="D402" s="24"/>
      <c r="E402" s="24"/>
      <c r="F402" s="24"/>
      <c r="G402" s="24"/>
      <c r="H402" s="24"/>
      <c r="I402" s="24"/>
      <c r="J402" s="27"/>
      <c r="K402" s="24"/>
      <c r="L402" s="24"/>
      <c r="M402" s="24"/>
      <c r="N402" s="24"/>
      <c r="O402" s="24"/>
      <c r="P402" s="26"/>
      <c r="Q402" s="26"/>
      <c r="R402" s="26"/>
      <c r="S402" s="34" t="str">
        <f>IF(OR($C402="",$P402=""),"",MAX(0,ROUND(($P402-$C402)*1440,0)))</f>
        <v/>
      </c>
      <c r="T402" s="34" t="str">
        <f>IF(OR($P402="",$Q402=""),"",MAX(0,ROUND(($Q402-$P402)*1440,0)))</f>
        <v/>
      </c>
      <c r="U402" s="34" t="str">
        <f>IF(OR($Q402="",$R402=""),"",MAX(0,ROUND(($R402-$Q402)*1440,0)))</f>
        <v/>
      </c>
      <c r="V402" s="35" t="str">
        <f>IF($A402="","",IF($O402="No-show","Sim","Não"))</f>
        <v/>
      </c>
      <c r="W402" s="32"/>
    </row>
    <row r="403" spans="1:23" x14ac:dyDescent="0.25">
      <c r="A403" s="24"/>
      <c r="B403" s="25"/>
      <c r="C403" s="26"/>
      <c r="D403" s="24"/>
      <c r="E403" s="24"/>
      <c r="F403" s="24"/>
      <c r="G403" s="24"/>
      <c r="H403" s="24"/>
      <c r="I403" s="24"/>
      <c r="J403" s="27"/>
      <c r="K403" s="24"/>
      <c r="L403" s="24"/>
      <c r="M403" s="24"/>
      <c r="N403" s="24"/>
      <c r="O403" s="24"/>
      <c r="P403" s="26"/>
      <c r="Q403" s="26"/>
      <c r="R403" s="26"/>
      <c r="S403" s="34" t="str">
        <f>IF(OR($C403="",$P403=""),"",MAX(0,ROUND(($P403-$C403)*1440,0)))</f>
        <v/>
      </c>
      <c r="T403" s="34" t="str">
        <f>IF(OR($P403="",$Q403=""),"",MAX(0,ROUND(($Q403-$P403)*1440,0)))</f>
        <v/>
      </c>
      <c r="U403" s="34" t="str">
        <f>IF(OR($Q403="",$R403=""),"",MAX(0,ROUND(($R403-$Q403)*1440,0)))</f>
        <v/>
      </c>
      <c r="V403" s="35" t="str">
        <f>IF($A403="","",IF($O403="No-show","Sim","Não"))</f>
        <v/>
      </c>
      <c r="W403" s="32"/>
    </row>
    <row r="404" spans="1:23" x14ac:dyDescent="0.25">
      <c r="A404" s="24"/>
      <c r="B404" s="25"/>
      <c r="C404" s="26"/>
      <c r="D404" s="24"/>
      <c r="E404" s="24"/>
      <c r="F404" s="24"/>
      <c r="G404" s="24"/>
      <c r="H404" s="24"/>
      <c r="I404" s="24"/>
      <c r="J404" s="27"/>
      <c r="K404" s="24"/>
      <c r="L404" s="24"/>
      <c r="M404" s="24"/>
      <c r="N404" s="24"/>
      <c r="O404" s="24"/>
      <c r="P404" s="26"/>
      <c r="Q404" s="26"/>
      <c r="R404" s="26"/>
      <c r="S404" s="34" t="str">
        <f>IF(OR($C404="",$P404=""),"",MAX(0,ROUND(($P404-$C404)*1440,0)))</f>
        <v/>
      </c>
      <c r="T404" s="34" t="str">
        <f>IF(OR($P404="",$Q404=""),"",MAX(0,ROUND(($Q404-$P404)*1440,0)))</f>
        <v/>
      </c>
      <c r="U404" s="34" t="str">
        <f>IF(OR($Q404="",$R404=""),"",MAX(0,ROUND(($R404-$Q404)*1440,0)))</f>
        <v/>
      </c>
      <c r="V404" s="35" t="str">
        <f>IF($A404="","",IF($O404="No-show","Sim","Não"))</f>
        <v/>
      </c>
      <c r="W404" s="32"/>
    </row>
    <row r="405" spans="1:23" x14ac:dyDescent="0.25">
      <c r="A405" s="24"/>
      <c r="B405" s="25"/>
      <c r="C405" s="26"/>
      <c r="D405" s="24"/>
      <c r="E405" s="24"/>
      <c r="F405" s="24"/>
      <c r="G405" s="24"/>
      <c r="H405" s="24"/>
      <c r="I405" s="24"/>
      <c r="J405" s="27"/>
      <c r="K405" s="24"/>
      <c r="L405" s="24"/>
      <c r="M405" s="24"/>
      <c r="N405" s="24"/>
      <c r="O405" s="24"/>
      <c r="P405" s="26"/>
      <c r="Q405" s="26"/>
      <c r="R405" s="26"/>
      <c r="S405" s="34" t="str">
        <f>IF(OR($C405="",$P405=""),"",MAX(0,ROUND(($P405-$C405)*1440,0)))</f>
        <v/>
      </c>
      <c r="T405" s="34" t="str">
        <f>IF(OR($P405="",$Q405=""),"",MAX(0,ROUND(($Q405-$P405)*1440,0)))</f>
        <v/>
      </c>
      <c r="U405" s="34" t="str">
        <f>IF(OR($Q405="",$R405=""),"",MAX(0,ROUND(($R405-$Q405)*1440,0)))</f>
        <v/>
      </c>
      <c r="V405" s="35" t="str">
        <f>IF($A405="","",IF($O405="No-show","Sim","Não"))</f>
        <v/>
      </c>
      <c r="W405" s="32"/>
    </row>
    <row r="406" spans="1:23" x14ac:dyDescent="0.25">
      <c r="A406" s="24"/>
      <c r="B406" s="25"/>
      <c r="C406" s="26"/>
      <c r="D406" s="24"/>
      <c r="E406" s="24"/>
      <c r="F406" s="24"/>
      <c r="G406" s="24"/>
      <c r="H406" s="24"/>
      <c r="I406" s="24"/>
      <c r="J406" s="27"/>
      <c r="K406" s="24"/>
      <c r="L406" s="24"/>
      <c r="M406" s="24"/>
      <c r="N406" s="24"/>
      <c r="O406" s="24"/>
      <c r="P406" s="26"/>
      <c r="Q406" s="26"/>
      <c r="R406" s="26"/>
      <c r="S406" s="34" t="str">
        <f>IF(OR($C406="",$P406=""),"",MAX(0,ROUND(($P406-$C406)*1440,0)))</f>
        <v/>
      </c>
      <c r="T406" s="34" t="str">
        <f>IF(OR($P406="",$Q406=""),"",MAX(0,ROUND(($Q406-$P406)*1440,0)))</f>
        <v/>
      </c>
      <c r="U406" s="34" t="str">
        <f>IF(OR($Q406="",$R406=""),"",MAX(0,ROUND(($R406-$Q406)*1440,0)))</f>
        <v/>
      </c>
      <c r="V406" s="35" t="str">
        <f>IF($A406="","",IF($O406="No-show","Sim","Não"))</f>
        <v/>
      </c>
      <c r="W406" s="32"/>
    </row>
    <row r="407" spans="1:23" x14ac:dyDescent="0.25">
      <c r="A407" s="24"/>
      <c r="B407" s="25"/>
      <c r="C407" s="26"/>
      <c r="D407" s="24"/>
      <c r="E407" s="24"/>
      <c r="F407" s="24"/>
      <c r="G407" s="24"/>
      <c r="H407" s="24"/>
      <c r="I407" s="24"/>
      <c r="J407" s="27"/>
      <c r="K407" s="24"/>
      <c r="L407" s="24"/>
      <c r="M407" s="24"/>
      <c r="N407" s="24"/>
      <c r="O407" s="24"/>
      <c r="P407" s="26"/>
      <c r="Q407" s="26"/>
      <c r="R407" s="26"/>
      <c r="S407" s="34" t="str">
        <f>IF(OR($C407="",$P407=""),"",MAX(0,ROUND(($P407-$C407)*1440,0)))</f>
        <v/>
      </c>
      <c r="T407" s="34" t="str">
        <f>IF(OR($P407="",$Q407=""),"",MAX(0,ROUND(($Q407-$P407)*1440,0)))</f>
        <v/>
      </c>
      <c r="U407" s="34" t="str">
        <f>IF(OR($Q407="",$R407=""),"",MAX(0,ROUND(($R407-$Q407)*1440,0)))</f>
        <v/>
      </c>
      <c r="V407" s="35" t="str">
        <f>IF($A407="","",IF($O407="No-show","Sim","Não"))</f>
        <v/>
      </c>
      <c r="W407" s="32"/>
    </row>
    <row r="408" spans="1:23" x14ac:dyDescent="0.25">
      <c r="A408" s="24"/>
      <c r="B408" s="25"/>
      <c r="C408" s="26"/>
      <c r="D408" s="24"/>
      <c r="E408" s="24"/>
      <c r="F408" s="24"/>
      <c r="G408" s="24"/>
      <c r="H408" s="24"/>
      <c r="I408" s="24"/>
      <c r="J408" s="27"/>
      <c r="K408" s="24"/>
      <c r="L408" s="24"/>
      <c r="M408" s="24"/>
      <c r="N408" s="24"/>
      <c r="O408" s="24"/>
      <c r="P408" s="26"/>
      <c r="Q408" s="26"/>
      <c r="R408" s="26"/>
      <c r="S408" s="34" t="str">
        <f>IF(OR($C408="",$P408=""),"",MAX(0,ROUND(($P408-$C408)*1440,0)))</f>
        <v/>
      </c>
      <c r="T408" s="34" t="str">
        <f>IF(OR($P408="",$Q408=""),"",MAX(0,ROUND(($Q408-$P408)*1440,0)))</f>
        <v/>
      </c>
      <c r="U408" s="34" t="str">
        <f>IF(OR($Q408="",$R408=""),"",MAX(0,ROUND(($R408-$Q408)*1440,0)))</f>
        <v/>
      </c>
      <c r="V408" s="35" t="str">
        <f>IF($A408="","",IF($O408="No-show","Sim","Não"))</f>
        <v/>
      </c>
      <c r="W408" s="32"/>
    </row>
    <row r="409" spans="1:23" x14ac:dyDescent="0.25">
      <c r="A409" s="24"/>
      <c r="B409" s="25"/>
      <c r="C409" s="26"/>
      <c r="D409" s="24"/>
      <c r="E409" s="24"/>
      <c r="F409" s="24"/>
      <c r="G409" s="24"/>
      <c r="H409" s="24"/>
      <c r="I409" s="24"/>
      <c r="J409" s="27"/>
      <c r="K409" s="24"/>
      <c r="L409" s="24"/>
      <c r="M409" s="24"/>
      <c r="N409" s="24"/>
      <c r="O409" s="24"/>
      <c r="P409" s="26"/>
      <c r="Q409" s="26"/>
      <c r="R409" s="26"/>
      <c r="S409" s="34" t="str">
        <f>IF(OR($C409="",$P409=""),"",MAX(0,ROUND(($P409-$C409)*1440,0)))</f>
        <v/>
      </c>
      <c r="T409" s="34" t="str">
        <f>IF(OR($P409="",$Q409=""),"",MAX(0,ROUND(($Q409-$P409)*1440,0)))</f>
        <v/>
      </c>
      <c r="U409" s="34" t="str">
        <f>IF(OR($Q409="",$R409=""),"",MAX(0,ROUND(($R409-$Q409)*1440,0)))</f>
        <v/>
      </c>
      <c r="V409" s="35" t="str">
        <f>IF($A409="","",IF($O409="No-show","Sim","Não"))</f>
        <v/>
      </c>
      <c r="W409" s="32"/>
    </row>
    <row r="410" spans="1:23" x14ac:dyDescent="0.25">
      <c r="A410" s="24"/>
      <c r="B410" s="25"/>
      <c r="C410" s="26"/>
      <c r="D410" s="24"/>
      <c r="E410" s="24"/>
      <c r="F410" s="24"/>
      <c r="G410" s="24"/>
      <c r="H410" s="24"/>
      <c r="I410" s="24"/>
      <c r="J410" s="27"/>
      <c r="K410" s="24"/>
      <c r="L410" s="24"/>
      <c r="M410" s="24"/>
      <c r="N410" s="24"/>
      <c r="O410" s="24"/>
      <c r="P410" s="26"/>
      <c r="Q410" s="26"/>
      <c r="R410" s="26"/>
      <c r="S410" s="34" t="str">
        <f>IF(OR($C410="",$P410=""),"",MAX(0,ROUND(($P410-$C410)*1440,0)))</f>
        <v/>
      </c>
      <c r="T410" s="34" t="str">
        <f>IF(OR($P410="",$Q410=""),"",MAX(0,ROUND(($Q410-$P410)*1440,0)))</f>
        <v/>
      </c>
      <c r="U410" s="34" t="str">
        <f>IF(OR($Q410="",$R410=""),"",MAX(0,ROUND(($R410-$Q410)*1440,0)))</f>
        <v/>
      </c>
      <c r="V410" s="35" t="str">
        <f>IF($A410="","",IF($O410="No-show","Sim","Não"))</f>
        <v/>
      </c>
      <c r="W410" s="32"/>
    </row>
    <row r="411" spans="1:23" x14ac:dyDescent="0.25">
      <c r="A411" s="24"/>
      <c r="B411" s="25"/>
      <c r="C411" s="26"/>
      <c r="D411" s="24"/>
      <c r="E411" s="24"/>
      <c r="F411" s="24"/>
      <c r="G411" s="24"/>
      <c r="H411" s="24"/>
      <c r="I411" s="24"/>
      <c r="J411" s="27"/>
      <c r="K411" s="24"/>
      <c r="L411" s="24"/>
      <c r="M411" s="24"/>
      <c r="N411" s="24"/>
      <c r="O411" s="24"/>
      <c r="P411" s="26"/>
      <c r="Q411" s="26"/>
      <c r="R411" s="26"/>
      <c r="S411" s="34" t="str">
        <f>IF(OR($C411="",$P411=""),"",MAX(0,ROUND(($P411-$C411)*1440,0)))</f>
        <v/>
      </c>
      <c r="T411" s="34" t="str">
        <f>IF(OR($P411="",$Q411=""),"",MAX(0,ROUND(($Q411-$P411)*1440,0)))</f>
        <v/>
      </c>
      <c r="U411" s="34" t="str">
        <f>IF(OR($Q411="",$R411=""),"",MAX(0,ROUND(($R411-$Q411)*1440,0)))</f>
        <v/>
      </c>
      <c r="V411" s="35" t="str">
        <f>IF($A411="","",IF($O411="No-show","Sim","Não"))</f>
        <v/>
      </c>
      <c r="W411" s="32"/>
    </row>
    <row r="412" spans="1:23" x14ac:dyDescent="0.25">
      <c r="A412" s="24"/>
      <c r="B412" s="25"/>
      <c r="C412" s="26"/>
      <c r="D412" s="24"/>
      <c r="E412" s="24"/>
      <c r="F412" s="24"/>
      <c r="G412" s="24"/>
      <c r="H412" s="24"/>
      <c r="I412" s="24"/>
      <c r="J412" s="27"/>
      <c r="K412" s="24"/>
      <c r="L412" s="24"/>
      <c r="M412" s="24"/>
      <c r="N412" s="24"/>
      <c r="O412" s="24"/>
      <c r="P412" s="26"/>
      <c r="Q412" s="26"/>
      <c r="R412" s="26"/>
      <c r="S412" s="34" t="str">
        <f>IF(OR($C412="",$P412=""),"",MAX(0,ROUND(($P412-$C412)*1440,0)))</f>
        <v/>
      </c>
      <c r="T412" s="34" t="str">
        <f>IF(OR($P412="",$Q412=""),"",MAX(0,ROUND(($Q412-$P412)*1440,0)))</f>
        <v/>
      </c>
      <c r="U412" s="34" t="str">
        <f>IF(OR($Q412="",$R412=""),"",MAX(0,ROUND(($R412-$Q412)*1440,0)))</f>
        <v/>
      </c>
      <c r="V412" s="35" t="str">
        <f>IF($A412="","",IF($O412="No-show","Sim","Não"))</f>
        <v/>
      </c>
      <c r="W412" s="32"/>
    </row>
    <row r="413" spans="1:23" x14ac:dyDescent="0.25">
      <c r="A413" s="24"/>
      <c r="B413" s="25"/>
      <c r="C413" s="26"/>
      <c r="D413" s="24"/>
      <c r="E413" s="24"/>
      <c r="F413" s="24"/>
      <c r="G413" s="24"/>
      <c r="H413" s="24"/>
      <c r="I413" s="24"/>
      <c r="J413" s="27"/>
      <c r="K413" s="24"/>
      <c r="L413" s="24"/>
      <c r="M413" s="24"/>
      <c r="N413" s="24"/>
      <c r="O413" s="24"/>
      <c r="P413" s="26"/>
      <c r="Q413" s="26"/>
      <c r="R413" s="26"/>
      <c r="S413" s="34" t="str">
        <f>IF(OR($C413="",$P413=""),"",MAX(0,ROUND(($P413-$C413)*1440,0)))</f>
        <v/>
      </c>
      <c r="T413" s="34" t="str">
        <f>IF(OR($P413="",$Q413=""),"",MAX(0,ROUND(($Q413-$P413)*1440,0)))</f>
        <v/>
      </c>
      <c r="U413" s="34" t="str">
        <f>IF(OR($Q413="",$R413=""),"",MAX(0,ROUND(($R413-$Q413)*1440,0)))</f>
        <v/>
      </c>
      <c r="V413" s="35" t="str">
        <f>IF($A413="","",IF($O413="No-show","Sim","Não"))</f>
        <v/>
      </c>
      <c r="W413" s="32"/>
    </row>
    <row r="414" spans="1:23" x14ac:dyDescent="0.25">
      <c r="A414" s="24"/>
      <c r="B414" s="25"/>
      <c r="C414" s="26"/>
      <c r="D414" s="24"/>
      <c r="E414" s="24"/>
      <c r="F414" s="24"/>
      <c r="G414" s="24"/>
      <c r="H414" s="24"/>
      <c r="I414" s="24"/>
      <c r="J414" s="27"/>
      <c r="K414" s="24"/>
      <c r="L414" s="24"/>
      <c r="M414" s="24"/>
      <c r="N414" s="24"/>
      <c r="O414" s="24"/>
      <c r="P414" s="26"/>
      <c r="Q414" s="26"/>
      <c r="R414" s="26"/>
      <c r="S414" s="34" t="str">
        <f>IF(OR($C414="",$P414=""),"",MAX(0,ROUND(($P414-$C414)*1440,0)))</f>
        <v/>
      </c>
      <c r="T414" s="34" t="str">
        <f>IF(OR($P414="",$Q414=""),"",MAX(0,ROUND(($Q414-$P414)*1440,0)))</f>
        <v/>
      </c>
      <c r="U414" s="34" t="str">
        <f>IF(OR($Q414="",$R414=""),"",MAX(0,ROUND(($R414-$Q414)*1440,0)))</f>
        <v/>
      </c>
      <c r="V414" s="35" t="str">
        <f>IF($A414="","",IF($O414="No-show","Sim","Não"))</f>
        <v/>
      </c>
      <c r="W414" s="32"/>
    </row>
    <row r="415" spans="1:23" x14ac:dyDescent="0.25">
      <c r="A415" s="24"/>
      <c r="B415" s="25"/>
      <c r="C415" s="26"/>
      <c r="D415" s="24"/>
      <c r="E415" s="24"/>
      <c r="F415" s="24"/>
      <c r="G415" s="24"/>
      <c r="H415" s="24"/>
      <c r="I415" s="24"/>
      <c r="J415" s="27"/>
      <c r="K415" s="24"/>
      <c r="L415" s="24"/>
      <c r="M415" s="24"/>
      <c r="N415" s="24"/>
      <c r="O415" s="24"/>
      <c r="P415" s="26"/>
      <c r="Q415" s="26"/>
      <c r="R415" s="26"/>
      <c r="S415" s="34" t="str">
        <f>IF(OR($C415="",$P415=""),"",MAX(0,ROUND(($P415-$C415)*1440,0)))</f>
        <v/>
      </c>
      <c r="T415" s="34" t="str">
        <f>IF(OR($P415="",$Q415=""),"",MAX(0,ROUND(($Q415-$P415)*1440,0)))</f>
        <v/>
      </c>
      <c r="U415" s="34" t="str">
        <f>IF(OR($Q415="",$R415=""),"",MAX(0,ROUND(($R415-$Q415)*1440,0)))</f>
        <v/>
      </c>
      <c r="V415" s="35" t="str">
        <f>IF($A415="","",IF($O415="No-show","Sim","Não"))</f>
        <v/>
      </c>
      <c r="W415" s="32"/>
    </row>
    <row r="416" spans="1:23" x14ac:dyDescent="0.25">
      <c r="A416" s="24"/>
      <c r="B416" s="25"/>
      <c r="C416" s="26"/>
      <c r="D416" s="24"/>
      <c r="E416" s="24"/>
      <c r="F416" s="24"/>
      <c r="G416" s="24"/>
      <c r="H416" s="24"/>
      <c r="I416" s="24"/>
      <c r="J416" s="27"/>
      <c r="K416" s="24"/>
      <c r="L416" s="24"/>
      <c r="M416" s="24"/>
      <c r="N416" s="24"/>
      <c r="O416" s="24"/>
      <c r="P416" s="26"/>
      <c r="Q416" s="26"/>
      <c r="R416" s="26"/>
      <c r="S416" s="34" t="str">
        <f>IF(OR($C416="",$P416=""),"",MAX(0,ROUND(($P416-$C416)*1440,0)))</f>
        <v/>
      </c>
      <c r="T416" s="34" t="str">
        <f>IF(OR($P416="",$Q416=""),"",MAX(0,ROUND(($Q416-$P416)*1440,0)))</f>
        <v/>
      </c>
      <c r="U416" s="34" t="str">
        <f>IF(OR($Q416="",$R416=""),"",MAX(0,ROUND(($R416-$Q416)*1440,0)))</f>
        <v/>
      </c>
      <c r="V416" s="35" t="str">
        <f>IF($A416="","",IF($O416="No-show","Sim","Não"))</f>
        <v/>
      </c>
      <c r="W416" s="32"/>
    </row>
    <row r="417" spans="1:23" x14ac:dyDescent="0.25">
      <c r="A417" s="24"/>
      <c r="B417" s="25"/>
      <c r="C417" s="26"/>
      <c r="D417" s="24"/>
      <c r="E417" s="24"/>
      <c r="F417" s="24"/>
      <c r="G417" s="24"/>
      <c r="H417" s="24"/>
      <c r="I417" s="24"/>
      <c r="J417" s="27"/>
      <c r="K417" s="24"/>
      <c r="L417" s="24"/>
      <c r="M417" s="24"/>
      <c r="N417" s="24"/>
      <c r="O417" s="24"/>
      <c r="P417" s="26"/>
      <c r="Q417" s="26"/>
      <c r="R417" s="26"/>
      <c r="S417" s="34" t="str">
        <f>IF(OR($C417="",$P417=""),"",MAX(0,ROUND(($P417-$C417)*1440,0)))</f>
        <v/>
      </c>
      <c r="T417" s="34" t="str">
        <f>IF(OR($P417="",$Q417=""),"",MAX(0,ROUND(($Q417-$P417)*1440,0)))</f>
        <v/>
      </c>
      <c r="U417" s="34" t="str">
        <f>IF(OR($Q417="",$R417=""),"",MAX(0,ROUND(($R417-$Q417)*1440,0)))</f>
        <v/>
      </c>
      <c r="V417" s="35" t="str">
        <f>IF($A417="","",IF($O417="No-show","Sim","Não"))</f>
        <v/>
      </c>
      <c r="W417" s="32"/>
    </row>
    <row r="418" spans="1:23" x14ac:dyDescent="0.25">
      <c r="A418" s="24"/>
      <c r="B418" s="25"/>
      <c r="C418" s="26"/>
      <c r="D418" s="24"/>
      <c r="E418" s="24"/>
      <c r="F418" s="24"/>
      <c r="G418" s="24"/>
      <c r="H418" s="24"/>
      <c r="I418" s="24"/>
      <c r="J418" s="27"/>
      <c r="K418" s="24"/>
      <c r="L418" s="24"/>
      <c r="M418" s="24"/>
      <c r="N418" s="24"/>
      <c r="O418" s="24"/>
      <c r="P418" s="26"/>
      <c r="Q418" s="26"/>
      <c r="R418" s="26"/>
      <c r="S418" s="34" t="str">
        <f>IF(OR($C418="",$P418=""),"",MAX(0,ROUND(($P418-$C418)*1440,0)))</f>
        <v/>
      </c>
      <c r="T418" s="34" t="str">
        <f>IF(OR($P418="",$Q418=""),"",MAX(0,ROUND(($Q418-$P418)*1440,0)))</f>
        <v/>
      </c>
      <c r="U418" s="34" t="str">
        <f>IF(OR($Q418="",$R418=""),"",MAX(0,ROUND(($R418-$Q418)*1440,0)))</f>
        <v/>
      </c>
      <c r="V418" s="35" t="str">
        <f>IF($A418="","",IF($O418="No-show","Sim","Não"))</f>
        <v/>
      </c>
      <c r="W418" s="32"/>
    </row>
    <row r="419" spans="1:23" x14ac:dyDescent="0.25">
      <c r="A419" s="24"/>
      <c r="B419" s="25"/>
      <c r="C419" s="26"/>
      <c r="D419" s="24"/>
      <c r="E419" s="24"/>
      <c r="F419" s="24"/>
      <c r="G419" s="24"/>
      <c r="H419" s="24"/>
      <c r="I419" s="24"/>
      <c r="J419" s="27"/>
      <c r="K419" s="24"/>
      <c r="L419" s="24"/>
      <c r="M419" s="24"/>
      <c r="N419" s="24"/>
      <c r="O419" s="24"/>
      <c r="P419" s="26"/>
      <c r="Q419" s="26"/>
      <c r="R419" s="26"/>
      <c r="S419" s="34" t="str">
        <f>IF(OR($C419="",$P419=""),"",MAX(0,ROUND(($P419-$C419)*1440,0)))</f>
        <v/>
      </c>
      <c r="T419" s="34" t="str">
        <f>IF(OR($P419="",$Q419=""),"",MAX(0,ROUND(($Q419-$P419)*1440,0)))</f>
        <v/>
      </c>
      <c r="U419" s="34" t="str">
        <f>IF(OR($Q419="",$R419=""),"",MAX(0,ROUND(($R419-$Q419)*1440,0)))</f>
        <v/>
      </c>
      <c r="V419" s="35" t="str">
        <f>IF($A419="","",IF($O419="No-show","Sim","Não"))</f>
        <v/>
      </c>
      <c r="W419" s="32"/>
    </row>
    <row r="420" spans="1:23" x14ac:dyDescent="0.25">
      <c r="A420" s="24"/>
      <c r="B420" s="25"/>
      <c r="C420" s="26"/>
      <c r="D420" s="24"/>
      <c r="E420" s="24"/>
      <c r="F420" s="24"/>
      <c r="G420" s="24"/>
      <c r="H420" s="24"/>
      <c r="I420" s="24"/>
      <c r="J420" s="27"/>
      <c r="K420" s="24"/>
      <c r="L420" s="24"/>
      <c r="M420" s="24"/>
      <c r="N420" s="24"/>
      <c r="O420" s="24"/>
      <c r="P420" s="26"/>
      <c r="Q420" s="26"/>
      <c r="R420" s="26"/>
      <c r="S420" s="34" t="str">
        <f>IF(OR($C420="",$P420=""),"",MAX(0,ROUND(($P420-$C420)*1440,0)))</f>
        <v/>
      </c>
      <c r="T420" s="34" t="str">
        <f>IF(OR($P420="",$Q420=""),"",MAX(0,ROUND(($Q420-$P420)*1440,0)))</f>
        <v/>
      </c>
      <c r="U420" s="34" t="str">
        <f>IF(OR($Q420="",$R420=""),"",MAX(0,ROUND(($R420-$Q420)*1440,0)))</f>
        <v/>
      </c>
      <c r="V420" s="35" t="str">
        <f>IF($A420="","",IF($O420="No-show","Sim","Não"))</f>
        <v/>
      </c>
      <c r="W420" s="32"/>
    </row>
    <row r="421" spans="1:23" x14ac:dyDescent="0.25">
      <c r="A421" s="24"/>
      <c r="B421" s="25"/>
      <c r="C421" s="26"/>
      <c r="D421" s="24"/>
      <c r="E421" s="24"/>
      <c r="F421" s="24"/>
      <c r="G421" s="24"/>
      <c r="H421" s="24"/>
      <c r="I421" s="24"/>
      <c r="J421" s="27"/>
      <c r="K421" s="24"/>
      <c r="L421" s="24"/>
      <c r="M421" s="24"/>
      <c r="N421" s="24"/>
      <c r="O421" s="24"/>
      <c r="P421" s="26"/>
      <c r="Q421" s="26"/>
      <c r="R421" s="26"/>
      <c r="S421" s="34" t="str">
        <f>IF(OR($C421="",$P421=""),"",MAX(0,ROUND(($P421-$C421)*1440,0)))</f>
        <v/>
      </c>
      <c r="T421" s="34" t="str">
        <f>IF(OR($P421="",$Q421=""),"",MAX(0,ROUND(($Q421-$P421)*1440,0)))</f>
        <v/>
      </c>
      <c r="U421" s="34" t="str">
        <f>IF(OR($Q421="",$R421=""),"",MAX(0,ROUND(($R421-$Q421)*1440,0)))</f>
        <v/>
      </c>
      <c r="V421" s="35" t="str">
        <f>IF($A421="","",IF($O421="No-show","Sim","Não"))</f>
        <v/>
      </c>
      <c r="W421" s="32"/>
    </row>
    <row r="422" spans="1:23" x14ac:dyDescent="0.25">
      <c r="A422" s="24"/>
      <c r="B422" s="25"/>
      <c r="C422" s="26"/>
      <c r="D422" s="24"/>
      <c r="E422" s="24"/>
      <c r="F422" s="24"/>
      <c r="G422" s="24"/>
      <c r="H422" s="24"/>
      <c r="I422" s="24"/>
      <c r="J422" s="27"/>
      <c r="K422" s="24"/>
      <c r="L422" s="24"/>
      <c r="M422" s="24"/>
      <c r="N422" s="24"/>
      <c r="O422" s="24"/>
      <c r="P422" s="26"/>
      <c r="Q422" s="26"/>
      <c r="R422" s="26"/>
      <c r="S422" s="34" t="str">
        <f>IF(OR($C422="",$P422=""),"",MAX(0,ROUND(($P422-$C422)*1440,0)))</f>
        <v/>
      </c>
      <c r="T422" s="34" t="str">
        <f>IF(OR($P422="",$Q422=""),"",MAX(0,ROUND(($Q422-$P422)*1440,0)))</f>
        <v/>
      </c>
      <c r="U422" s="34" t="str">
        <f>IF(OR($Q422="",$R422=""),"",MAX(0,ROUND(($R422-$Q422)*1440,0)))</f>
        <v/>
      </c>
      <c r="V422" s="35" t="str">
        <f>IF($A422="","",IF($O422="No-show","Sim","Não"))</f>
        <v/>
      </c>
      <c r="W422" s="32"/>
    </row>
    <row r="423" spans="1:23" x14ac:dyDescent="0.25">
      <c r="A423" s="24"/>
      <c r="B423" s="25"/>
      <c r="C423" s="26"/>
      <c r="D423" s="24"/>
      <c r="E423" s="24"/>
      <c r="F423" s="24"/>
      <c r="G423" s="24"/>
      <c r="H423" s="24"/>
      <c r="I423" s="24"/>
      <c r="J423" s="27"/>
      <c r="K423" s="24"/>
      <c r="L423" s="24"/>
      <c r="M423" s="24"/>
      <c r="N423" s="24"/>
      <c r="O423" s="24"/>
      <c r="P423" s="26"/>
      <c r="Q423" s="26"/>
      <c r="R423" s="26"/>
      <c r="S423" s="34" t="str">
        <f>IF(OR($C423="",$P423=""),"",MAX(0,ROUND(($P423-$C423)*1440,0)))</f>
        <v/>
      </c>
      <c r="T423" s="34" t="str">
        <f>IF(OR($P423="",$Q423=""),"",MAX(0,ROUND(($Q423-$P423)*1440,0)))</f>
        <v/>
      </c>
      <c r="U423" s="34" t="str">
        <f>IF(OR($Q423="",$R423=""),"",MAX(0,ROUND(($R423-$Q423)*1440,0)))</f>
        <v/>
      </c>
      <c r="V423" s="35" t="str">
        <f>IF($A423="","",IF($O423="No-show","Sim","Não"))</f>
        <v/>
      </c>
      <c r="W423" s="32"/>
    </row>
    <row r="424" spans="1:23" x14ac:dyDescent="0.25">
      <c r="A424" s="24"/>
      <c r="B424" s="25"/>
      <c r="C424" s="26"/>
      <c r="D424" s="24"/>
      <c r="E424" s="24"/>
      <c r="F424" s="24"/>
      <c r="G424" s="24"/>
      <c r="H424" s="24"/>
      <c r="I424" s="24"/>
      <c r="J424" s="27"/>
      <c r="K424" s="24"/>
      <c r="L424" s="24"/>
      <c r="M424" s="24"/>
      <c r="N424" s="24"/>
      <c r="O424" s="24"/>
      <c r="P424" s="26"/>
      <c r="Q424" s="26"/>
      <c r="R424" s="26"/>
      <c r="S424" s="34" t="str">
        <f>IF(OR($C424="",$P424=""),"",MAX(0,ROUND(($P424-$C424)*1440,0)))</f>
        <v/>
      </c>
      <c r="T424" s="34" t="str">
        <f>IF(OR($P424="",$Q424=""),"",MAX(0,ROUND(($Q424-$P424)*1440,0)))</f>
        <v/>
      </c>
      <c r="U424" s="34" t="str">
        <f>IF(OR($Q424="",$R424=""),"",MAX(0,ROUND(($R424-$Q424)*1440,0)))</f>
        <v/>
      </c>
      <c r="V424" s="35" t="str">
        <f>IF($A424="","",IF($O424="No-show","Sim","Não"))</f>
        <v/>
      </c>
      <c r="W424" s="32"/>
    </row>
    <row r="425" spans="1:23" x14ac:dyDescent="0.25">
      <c r="A425" s="24"/>
      <c r="B425" s="25"/>
      <c r="C425" s="26"/>
      <c r="D425" s="24"/>
      <c r="E425" s="24"/>
      <c r="F425" s="24"/>
      <c r="G425" s="24"/>
      <c r="H425" s="24"/>
      <c r="I425" s="24"/>
      <c r="J425" s="27"/>
      <c r="K425" s="24"/>
      <c r="L425" s="24"/>
      <c r="M425" s="24"/>
      <c r="N425" s="24"/>
      <c r="O425" s="24"/>
      <c r="P425" s="26"/>
      <c r="Q425" s="26"/>
      <c r="R425" s="26"/>
      <c r="S425" s="34" t="str">
        <f>IF(OR($C425="",$P425=""),"",MAX(0,ROUND(($P425-$C425)*1440,0)))</f>
        <v/>
      </c>
      <c r="T425" s="34" t="str">
        <f>IF(OR($P425="",$Q425=""),"",MAX(0,ROUND(($Q425-$P425)*1440,0)))</f>
        <v/>
      </c>
      <c r="U425" s="34" t="str">
        <f>IF(OR($Q425="",$R425=""),"",MAX(0,ROUND(($R425-$Q425)*1440,0)))</f>
        <v/>
      </c>
      <c r="V425" s="35" t="str">
        <f>IF($A425="","",IF($O425="No-show","Sim","Não"))</f>
        <v/>
      </c>
      <c r="W425" s="32"/>
    </row>
    <row r="426" spans="1:23" x14ac:dyDescent="0.25">
      <c r="A426" s="24"/>
      <c r="B426" s="25"/>
      <c r="C426" s="26"/>
      <c r="D426" s="24"/>
      <c r="E426" s="24"/>
      <c r="F426" s="24"/>
      <c r="G426" s="24"/>
      <c r="H426" s="24"/>
      <c r="I426" s="24"/>
      <c r="J426" s="27"/>
      <c r="K426" s="24"/>
      <c r="L426" s="24"/>
      <c r="M426" s="24"/>
      <c r="N426" s="24"/>
      <c r="O426" s="24"/>
      <c r="P426" s="26"/>
      <c r="Q426" s="26"/>
      <c r="R426" s="26"/>
      <c r="S426" s="34" t="str">
        <f>IF(OR($C426="",$P426=""),"",MAX(0,ROUND(($P426-$C426)*1440,0)))</f>
        <v/>
      </c>
      <c r="T426" s="34" t="str">
        <f>IF(OR($P426="",$Q426=""),"",MAX(0,ROUND(($Q426-$P426)*1440,0)))</f>
        <v/>
      </c>
      <c r="U426" s="34" t="str">
        <f>IF(OR($Q426="",$R426=""),"",MAX(0,ROUND(($R426-$Q426)*1440,0)))</f>
        <v/>
      </c>
      <c r="V426" s="35" t="str">
        <f>IF($A426="","",IF($O426="No-show","Sim","Não"))</f>
        <v/>
      </c>
      <c r="W426" s="32"/>
    </row>
    <row r="427" spans="1:23" x14ac:dyDescent="0.25">
      <c r="A427" s="24"/>
      <c r="B427" s="25"/>
      <c r="C427" s="26"/>
      <c r="D427" s="24"/>
      <c r="E427" s="24"/>
      <c r="F427" s="24"/>
      <c r="G427" s="24"/>
      <c r="H427" s="24"/>
      <c r="I427" s="24"/>
      <c r="J427" s="27"/>
      <c r="K427" s="24"/>
      <c r="L427" s="24"/>
      <c r="M427" s="24"/>
      <c r="N427" s="24"/>
      <c r="O427" s="24"/>
      <c r="P427" s="26"/>
      <c r="Q427" s="26"/>
      <c r="R427" s="26"/>
      <c r="S427" s="34" t="str">
        <f>IF(OR($C427="",$P427=""),"",MAX(0,ROUND(($P427-$C427)*1440,0)))</f>
        <v/>
      </c>
      <c r="T427" s="34" t="str">
        <f>IF(OR($P427="",$Q427=""),"",MAX(0,ROUND(($Q427-$P427)*1440,0)))</f>
        <v/>
      </c>
      <c r="U427" s="34" t="str">
        <f>IF(OR($Q427="",$R427=""),"",MAX(0,ROUND(($R427-$Q427)*1440,0)))</f>
        <v/>
      </c>
      <c r="V427" s="35" t="str">
        <f>IF($A427="","",IF($O427="No-show","Sim","Não"))</f>
        <v/>
      </c>
      <c r="W427" s="32"/>
    </row>
    <row r="428" spans="1:23" x14ac:dyDescent="0.25">
      <c r="A428" s="24"/>
      <c r="B428" s="25"/>
      <c r="C428" s="26"/>
      <c r="D428" s="24"/>
      <c r="E428" s="24"/>
      <c r="F428" s="24"/>
      <c r="G428" s="24"/>
      <c r="H428" s="24"/>
      <c r="I428" s="24"/>
      <c r="J428" s="27"/>
      <c r="K428" s="24"/>
      <c r="L428" s="24"/>
      <c r="M428" s="24"/>
      <c r="N428" s="24"/>
      <c r="O428" s="24"/>
      <c r="P428" s="26"/>
      <c r="Q428" s="26"/>
      <c r="R428" s="26"/>
      <c r="S428" s="34" t="str">
        <f>IF(OR($C428="",$P428=""),"",MAX(0,ROUND(($P428-$C428)*1440,0)))</f>
        <v/>
      </c>
      <c r="T428" s="34" t="str">
        <f>IF(OR($P428="",$Q428=""),"",MAX(0,ROUND(($Q428-$P428)*1440,0)))</f>
        <v/>
      </c>
      <c r="U428" s="34" t="str">
        <f>IF(OR($Q428="",$R428=""),"",MAX(0,ROUND(($R428-$Q428)*1440,0)))</f>
        <v/>
      </c>
      <c r="V428" s="35" t="str">
        <f>IF($A428="","",IF($O428="No-show","Sim","Não"))</f>
        <v/>
      </c>
      <c r="W428" s="32"/>
    </row>
    <row r="429" spans="1:23" x14ac:dyDescent="0.25">
      <c r="A429" s="24"/>
      <c r="B429" s="25"/>
      <c r="C429" s="26"/>
      <c r="D429" s="24"/>
      <c r="E429" s="24"/>
      <c r="F429" s="24"/>
      <c r="G429" s="24"/>
      <c r="H429" s="24"/>
      <c r="I429" s="24"/>
      <c r="J429" s="27"/>
      <c r="K429" s="24"/>
      <c r="L429" s="24"/>
      <c r="M429" s="24"/>
      <c r="N429" s="24"/>
      <c r="O429" s="24"/>
      <c r="P429" s="26"/>
      <c r="Q429" s="26"/>
      <c r="R429" s="26"/>
      <c r="S429" s="34" t="str">
        <f>IF(OR($C429="",$P429=""),"",MAX(0,ROUND(($P429-$C429)*1440,0)))</f>
        <v/>
      </c>
      <c r="T429" s="34" t="str">
        <f>IF(OR($P429="",$Q429=""),"",MAX(0,ROUND(($Q429-$P429)*1440,0)))</f>
        <v/>
      </c>
      <c r="U429" s="34" t="str">
        <f>IF(OR($Q429="",$R429=""),"",MAX(0,ROUND(($R429-$Q429)*1440,0)))</f>
        <v/>
      </c>
      <c r="V429" s="35" t="str">
        <f>IF($A429="","",IF($O429="No-show","Sim","Não"))</f>
        <v/>
      </c>
      <c r="W429" s="32"/>
    </row>
    <row r="430" spans="1:23" x14ac:dyDescent="0.25">
      <c r="A430" s="24"/>
      <c r="B430" s="25"/>
      <c r="C430" s="26"/>
      <c r="D430" s="24"/>
      <c r="E430" s="24"/>
      <c r="F430" s="24"/>
      <c r="G430" s="24"/>
      <c r="H430" s="24"/>
      <c r="I430" s="24"/>
      <c r="J430" s="27"/>
      <c r="K430" s="24"/>
      <c r="L430" s="24"/>
      <c r="M430" s="24"/>
      <c r="N430" s="24"/>
      <c r="O430" s="24"/>
      <c r="P430" s="26"/>
      <c r="Q430" s="26"/>
      <c r="R430" s="26"/>
      <c r="S430" s="34" t="str">
        <f>IF(OR($C430="",$P430=""),"",MAX(0,ROUND(($P430-$C430)*1440,0)))</f>
        <v/>
      </c>
      <c r="T430" s="34" t="str">
        <f>IF(OR($P430="",$Q430=""),"",MAX(0,ROUND(($Q430-$P430)*1440,0)))</f>
        <v/>
      </c>
      <c r="U430" s="34" t="str">
        <f>IF(OR($Q430="",$R430=""),"",MAX(0,ROUND(($R430-$Q430)*1440,0)))</f>
        <v/>
      </c>
      <c r="V430" s="35" t="str">
        <f>IF($A430="","",IF($O430="No-show","Sim","Não"))</f>
        <v/>
      </c>
      <c r="W430" s="32"/>
    </row>
    <row r="431" spans="1:23" x14ac:dyDescent="0.25">
      <c r="A431" s="24"/>
      <c r="B431" s="25"/>
      <c r="C431" s="26"/>
      <c r="D431" s="24"/>
      <c r="E431" s="24"/>
      <c r="F431" s="24"/>
      <c r="G431" s="24"/>
      <c r="H431" s="24"/>
      <c r="I431" s="24"/>
      <c r="J431" s="27"/>
      <c r="K431" s="24"/>
      <c r="L431" s="24"/>
      <c r="M431" s="24"/>
      <c r="N431" s="24"/>
      <c r="O431" s="24"/>
      <c r="P431" s="26"/>
      <c r="Q431" s="26"/>
      <c r="R431" s="26"/>
      <c r="S431" s="34" t="str">
        <f>IF(OR($C431="",$P431=""),"",MAX(0,ROUND(($P431-$C431)*1440,0)))</f>
        <v/>
      </c>
      <c r="T431" s="34" t="str">
        <f>IF(OR($P431="",$Q431=""),"",MAX(0,ROUND(($Q431-$P431)*1440,0)))</f>
        <v/>
      </c>
      <c r="U431" s="34" t="str">
        <f>IF(OR($Q431="",$R431=""),"",MAX(0,ROUND(($R431-$Q431)*1440,0)))</f>
        <v/>
      </c>
      <c r="V431" s="35" t="str">
        <f>IF($A431="","",IF($O431="No-show","Sim","Não"))</f>
        <v/>
      </c>
      <c r="W431" s="32"/>
    </row>
    <row r="432" spans="1:23" x14ac:dyDescent="0.25">
      <c r="A432" s="24"/>
      <c r="B432" s="25"/>
      <c r="C432" s="26"/>
      <c r="D432" s="24"/>
      <c r="E432" s="24"/>
      <c r="F432" s="24"/>
      <c r="G432" s="24"/>
      <c r="H432" s="24"/>
      <c r="I432" s="24"/>
      <c r="J432" s="27"/>
      <c r="K432" s="24"/>
      <c r="L432" s="24"/>
      <c r="M432" s="24"/>
      <c r="N432" s="24"/>
      <c r="O432" s="24"/>
      <c r="P432" s="26"/>
      <c r="Q432" s="26"/>
      <c r="R432" s="26"/>
      <c r="S432" s="34" t="str">
        <f>IF(OR($C432="",$P432=""),"",MAX(0,ROUND(($P432-$C432)*1440,0)))</f>
        <v/>
      </c>
      <c r="T432" s="34" t="str">
        <f>IF(OR($P432="",$Q432=""),"",MAX(0,ROUND(($Q432-$P432)*1440,0)))</f>
        <v/>
      </c>
      <c r="U432" s="34" t="str">
        <f>IF(OR($Q432="",$R432=""),"",MAX(0,ROUND(($R432-$Q432)*1440,0)))</f>
        <v/>
      </c>
      <c r="V432" s="35" t="str">
        <f>IF($A432="","",IF($O432="No-show","Sim","Não"))</f>
        <v/>
      </c>
      <c r="W432" s="32"/>
    </row>
    <row r="433" spans="1:23" x14ac:dyDescent="0.25">
      <c r="A433" s="24"/>
      <c r="B433" s="25"/>
      <c r="C433" s="26"/>
      <c r="D433" s="24"/>
      <c r="E433" s="24"/>
      <c r="F433" s="24"/>
      <c r="G433" s="24"/>
      <c r="H433" s="24"/>
      <c r="I433" s="24"/>
      <c r="J433" s="27"/>
      <c r="K433" s="24"/>
      <c r="L433" s="24"/>
      <c r="M433" s="24"/>
      <c r="N433" s="24"/>
      <c r="O433" s="24"/>
      <c r="P433" s="26"/>
      <c r="Q433" s="26"/>
      <c r="R433" s="26"/>
      <c r="S433" s="34" t="str">
        <f>IF(OR($C433="",$P433=""),"",MAX(0,ROUND(($P433-$C433)*1440,0)))</f>
        <v/>
      </c>
      <c r="T433" s="34" t="str">
        <f>IF(OR($P433="",$Q433=""),"",MAX(0,ROUND(($Q433-$P433)*1440,0)))</f>
        <v/>
      </c>
      <c r="U433" s="34" t="str">
        <f>IF(OR($Q433="",$R433=""),"",MAX(0,ROUND(($R433-$Q433)*1440,0)))</f>
        <v/>
      </c>
      <c r="V433" s="35" t="str">
        <f>IF($A433="","",IF($O433="No-show","Sim","Não"))</f>
        <v/>
      </c>
      <c r="W433" s="32"/>
    </row>
    <row r="434" spans="1:23" x14ac:dyDescent="0.25">
      <c r="A434" s="24"/>
      <c r="B434" s="25"/>
      <c r="C434" s="26"/>
      <c r="D434" s="24"/>
      <c r="E434" s="24"/>
      <c r="F434" s="24"/>
      <c r="G434" s="24"/>
      <c r="H434" s="24"/>
      <c r="I434" s="24"/>
      <c r="J434" s="27"/>
      <c r="K434" s="24"/>
      <c r="L434" s="24"/>
      <c r="M434" s="24"/>
      <c r="N434" s="24"/>
      <c r="O434" s="24"/>
      <c r="P434" s="26"/>
      <c r="Q434" s="26"/>
      <c r="R434" s="26"/>
      <c r="S434" s="34" t="str">
        <f>IF(OR($C434="",$P434=""),"",MAX(0,ROUND(($P434-$C434)*1440,0)))</f>
        <v/>
      </c>
      <c r="T434" s="34" t="str">
        <f>IF(OR($P434="",$Q434=""),"",MAX(0,ROUND(($Q434-$P434)*1440,0)))</f>
        <v/>
      </c>
      <c r="U434" s="34" t="str">
        <f>IF(OR($Q434="",$R434=""),"",MAX(0,ROUND(($R434-$Q434)*1440,0)))</f>
        <v/>
      </c>
      <c r="V434" s="35" t="str">
        <f>IF($A434="","",IF($O434="No-show","Sim","Não"))</f>
        <v/>
      </c>
      <c r="W434" s="32"/>
    </row>
    <row r="435" spans="1:23" x14ac:dyDescent="0.25">
      <c r="A435" s="24"/>
      <c r="B435" s="25"/>
      <c r="C435" s="26"/>
      <c r="D435" s="24"/>
      <c r="E435" s="24"/>
      <c r="F435" s="24"/>
      <c r="G435" s="24"/>
      <c r="H435" s="24"/>
      <c r="I435" s="24"/>
      <c r="J435" s="27"/>
      <c r="K435" s="24"/>
      <c r="L435" s="24"/>
      <c r="M435" s="24"/>
      <c r="N435" s="24"/>
      <c r="O435" s="24"/>
      <c r="P435" s="26"/>
      <c r="Q435" s="26"/>
      <c r="R435" s="26"/>
      <c r="S435" s="34" t="str">
        <f>IF(OR($C435="",$P435=""),"",MAX(0,ROUND(($P435-$C435)*1440,0)))</f>
        <v/>
      </c>
      <c r="T435" s="34" t="str">
        <f>IF(OR($P435="",$Q435=""),"",MAX(0,ROUND(($Q435-$P435)*1440,0)))</f>
        <v/>
      </c>
      <c r="U435" s="34" t="str">
        <f>IF(OR($Q435="",$R435=""),"",MAX(0,ROUND(($R435-$Q435)*1440,0)))</f>
        <v/>
      </c>
      <c r="V435" s="35" t="str">
        <f>IF($A435="","",IF($O435="No-show","Sim","Não"))</f>
        <v/>
      </c>
      <c r="W435" s="32"/>
    </row>
    <row r="436" spans="1:23" x14ac:dyDescent="0.25">
      <c r="A436" s="24"/>
      <c r="B436" s="25"/>
      <c r="C436" s="26"/>
      <c r="D436" s="24"/>
      <c r="E436" s="24"/>
      <c r="F436" s="24"/>
      <c r="G436" s="24"/>
      <c r="H436" s="24"/>
      <c r="I436" s="24"/>
      <c r="J436" s="27"/>
      <c r="K436" s="24"/>
      <c r="L436" s="24"/>
      <c r="M436" s="24"/>
      <c r="N436" s="24"/>
      <c r="O436" s="24"/>
      <c r="P436" s="26"/>
      <c r="Q436" s="26"/>
      <c r="R436" s="26"/>
      <c r="S436" s="34" t="str">
        <f>IF(OR($C436="",$P436=""),"",MAX(0,ROUND(($P436-$C436)*1440,0)))</f>
        <v/>
      </c>
      <c r="T436" s="34" t="str">
        <f>IF(OR($P436="",$Q436=""),"",MAX(0,ROUND(($Q436-$P436)*1440,0)))</f>
        <v/>
      </c>
      <c r="U436" s="34" t="str">
        <f>IF(OR($Q436="",$R436=""),"",MAX(0,ROUND(($R436-$Q436)*1440,0)))</f>
        <v/>
      </c>
      <c r="V436" s="35" t="str">
        <f>IF($A436="","",IF($O436="No-show","Sim","Não"))</f>
        <v/>
      </c>
      <c r="W436" s="32"/>
    </row>
    <row r="437" spans="1:23" x14ac:dyDescent="0.25">
      <c r="A437" s="24"/>
      <c r="B437" s="25"/>
      <c r="C437" s="26"/>
      <c r="D437" s="24"/>
      <c r="E437" s="24"/>
      <c r="F437" s="24"/>
      <c r="G437" s="24"/>
      <c r="H437" s="24"/>
      <c r="I437" s="24"/>
      <c r="J437" s="27"/>
      <c r="K437" s="24"/>
      <c r="L437" s="24"/>
      <c r="M437" s="24"/>
      <c r="N437" s="24"/>
      <c r="O437" s="24"/>
      <c r="P437" s="26"/>
      <c r="Q437" s="26"/>
      <c r="R437" s="26"/>
      <c r="S437" s="34" t="str">
        <f>IF(OR($C437="",$P437=""),"",MAX(0,ROUND(($P437-$C437)*1440,0)))</f>
        <v/>
      </c>
      <c r="T437" s="34" t="str">
        <f>IF(OR($P437="",$Q437=""),"",MAX(0,ROUND(($Q437-$P437)*1440,0)))</f>
        <v/>
      </c>
      <c r="U437" s="34" t="str">
        <f>IF(OR($Q437="",$R437=""),"",MAX(0,ROUND(($R437-$Q437)*1440,0)))</f>
        <v/>
      </c>
      <c r="V437" s="35" t="str">
        <f>IF($A437="","",IF($O437="No-show","Sim","Não"))</f>
        <v/>
      </c>
      <c r="W437" s="32"/>
    </row>
    <row r="438" spans="1:23" x14ac:dyDescent="0.25">
      <c r="A438" s="24"/>
      <c r="B438" s="25"/>
      <c r="C438" s="26"/>
      <c r="D438" s="24"/>
      <c r="E438" s="24"/>
      <c r="F438" s="24"/>
      <c r="G438" s="24"/>
      <c r="H438" s="24"/>
      <c r="I438" s="24"/>
      <c r="J438" s="27"/>
      <c r="K438" s="24"/>
      <c r="L438" s="24"/>
      <c r="M438" s="24"/>
      <c r="N438" s="24"/>
      <c r="O438" s="24"/>
      <c r="P438" s="26"/>
      <c r="Q438" s="26"/>
      <c r="R438" s="26"/>
      <c r="S438" s="34" t="str">
        <f>IF(OR($C438="",$P438=""),"",MAX(0,ROUND(($P438-$C438)*1440,0)))</f>
        <v/>
      </c>
      <c r="T438" s="34" t="str">
        <f>IF(OR($P438="",$Q438=""),"",MAX(0,ROUND(($Q438-$P438)*1440,0)))</f>
        <v/>
      </c>
      <c r="U438" s="34" t="str">
        <f>IF(OR($Q438="",$R438=""),"",MAX(0,ROUND(($R438-$Q438)*1440,0)))</f>
        <v/>
      </c>
      <c r="V438" s="35" t="str">
        <f>IF($A438="","",IF($O438="No-show","Sim","Não"))</f>
        <v/>
      </c>
      <c r="W438" s="32"/>
    </row>
    <row r="439" spans="1:23" x14ac:dyDescent="0.25">
      <c r="A439" s="24"/>
      <c r="B439" s="25"/>
      <c r="C439" s="26"/>
      <c r="D439" s="24"/>
      <c r="E439" s="24"/>
      <c r="F439" s="24"/>
      <c r="G439" s="24"/>
      <c r="H439" s="24"/>
      <c r="I439" s="24"/>
      <c r="J439" s="27"/>
      <c r="K439" s="24"/>
      <c r="L439" s="24"/>
      <c r="M439" s="24"/>
      <c r="N439" s="24"/>
      <c r="O439" s="24"/>
      <c r="P439" s="26"/>
      <c r="Q439" s="26"/>
      <c r="R439" s="26"/>
      <c r="S439" s="34" t="str">
        <f>IF(OR($C439="",$P439=""),"",MAX(0,ROUND(($P439-$C439)*1440,0)))</f>
        <v/>
      </c>
      <c r="T439" s="34" t="str">
        <f>IF(OR($P439="",$Q439=""),"",MAX(0,ROUND(($Q439-$P439)*1440,0)))</f>
        <v/>
      </c>
      <c r="U439" s="34" t="str">
        <f>IF(OR($Q439="",$R439=""),"",MAX(0,ROUND(($R439-$Q439)*1440,0)))</f>
        <v/>
      </c>
      <c r="V439" s="35" t="str">
        <f>IF($A439="","",IF($O439="No-show","Sim","Não"))</f>
        <v/>
      </c>
      <c r="W439" s="32"/>
    </row>
    <row r="440" spans="1:23" x14ac:dyDescent="0.25">
      <c r="A440" s="24"/>
      <c r="B440" s="25"/>
      <c r="C440" s="26"/>
      <c r="D440" s="24"/>
      <c r="E440" s="24"/>
      <c r="F440" s="24"/>
      <c r="G440" s="24"/>
      <c r="H440" s="24"/>
      <c r="I440" s="24"/>
      <c r="J440" s="27"/>
      <c r="K440" s="24"/>
      <c r="L440" s="24"/>
      <c r="M440" s="24"/>
      <c r="N440" s="24"/>
      <c r="O440" s="24"/>
      <c r="P440" s="26"/>
      <c r="Q440" s="26"/>
      <c r="R440" s="26"/>
      <c r="S440" s="34" t="str">
        <f>IF(OR($C440="",$P440=""),"",MAX(0,ROUND(($P440-$C440)*1440,0)))</f>
        <v/>
      </c>
      <c r="T440" s="34" t="str">
        <f>IF(OR($P440="",$Q440=""),"",MAX(0,ROUND(($Q440-$P440)*1440,0)))</f>
        <v/>
      </c>
      <c r="U440" s="34" t="str">
        <f>IF(OR($Q440="",$R440=""),"",MAX(0,ROUND(($R440-$Q440)*1440,0)))</f>
        <v/>
      </c>
      <c r="V440" s="35" t="str">
        <f>IF($A440="","",IF($O440="No-show","Sim","Não"))</f>
        <v/>
      </c>
      <c r="W440" s="32"/>
    </row>
    <row r="441" spans="1:23" x14ac:dyDescent="0.25">
      <c r="A441" s="24"/>
      <c r="B441" s="25"/>
      <c r="C441" s="26"/>
      <c r="D441" s="24"/>
      <c r="E441" s="24"/>
      <c r="F441" s="24"/>
      <c r="G441" s="24"/>
      <c r="H441" s="24"/>
      <c r="I441" s="24"/>
      <c r="J441" s="27"/>
      <c r="K441" s="24"/>
      <c r="L441" s="24"/>
      <c r="M441" s="24"/>
      <c r="N441" s="24"/>
      <c r="O441" s="24"/>
      <c r="P441" s="26"/>
      <c r="Q441" s="26"/>
      <c r="R441" s="26"/>
      <c r="S441" s="34" t="str">
        <f>IF(OR($C441="",$P441=""),"",MAX(0,ROUND(($P441-$C441)*1440,0)))</f>
        <v/>
      </c>
      <c r="T441" s="34" t="str">
        <f>IF(OR($P441="",$Q441=""),"",MAX(0,ROUND(($Q441-$P441)*1440,0)))</f>
        <v/>
      </c>
      <c r="U441" s="34" t="str">
        <f>IF(OR($Q441="",$R441=""),"",MAX(0,ROUND(($R441-$Q441)*1440,0)))</f>
        <v/>
      </c>
      <c r="V441" s="35" t="str">
        <f>IF($A441="","",IF($O441="No-show","Sim","Não"))</f>
        <v/>
      </c>
      <c r="W441" s="32"/>
    </row>
    <row r="442" spans="1:23" x14ac:dyDescent="0.25">
      <c r="A442" s="24"/>
      <c r="B442" s="25"/>
      <c r="C442" s="26"/>
      <c r="D442" s="24"/>
      <c r="E442" s="24"/>
      <c r="F442" s="24"/>
      <c r="G442" s="24"/>
      <c r="H442" s="24"/>
      <c r="I442" s="24"/>
      <c r="J442" s="27"/>
      <c r="K442" s="24"/>
      <c r="L442" s="24"/>
      <c r="M442" s="24"/>
      <c r="N442" s="24"/>
      <c r="O442" s="24"/>
      <c r="P442" s="26"/>
      <c r="Q442" s="26"/>
      <c r="R442" s="26"/>
      <c r="S442" s="34" t="str">
        <f>IF(OR($C442="",$P442=""),"",MAX(0,ROUND(($P442-$C442)*1440,0)))</f>
        <v/>
      </c>
      <c r="T442" s="34" t="str">
        <f>IF(OR($P442="",$Q442=""),"",MAX(0,ROUND(($Q442-$P442)*1440,0)))</f>
        <v/>
      </c>
      <c r="U442" s="34" t="str">
        <f>IF(OR($Q442="",$R442=""),"",MAX(0,ROUND(($R442-$Q442)*1440,0)))</f>
        <v/>
      </c>
      <c r="V442" s="35" t="str">
        <f>IF($A442="","",IF($O442="No-show","Sim","Não"))</f>
        <v/>
      </c>
      <c r="W442" s="32"/>
    </row>
    <row r="443" spans="1:23" x14ac:dyDescent="0.25">
      <c r="A443" s="24"/>
      <c r="B443" s="25"/>
      <c r="C443" s="26"/>
      <c r="D443" s="24"/>
      <c r="E443" s="24"/>
      <c r="F443" s="24"/>
      <c r="G443" s="24"/>
      <c r="H443" s="24"/>
      <c r="I443" s="24"/>
      <c r="J443" s="27"/>
      <c r="K443" s="24"/>
      <c r="L443" s="24"/>
      <c r="M443" s="24"/>
      <c r="N443" s="24"/>
      <c r="O443" s="24"/>
      <c r="P443" s="26"/>
      <c r="Q443" s="26"/>
      <c r="R443" s="26"/>
      <c r="S443" s="34" t="str">
        <f>IF(OR($C443="",$P443=""),"",MAX(0,ROUND(($P443-$C443)*1440,0)))</f>
        <v/>
      </c>
      <c r="T443" s="34" t="str">
        <f>IF(OR($P443="",$Q443=""),"",MAX(0,ROUND(($Q443-$P443)*1440,0)))</f>
        <v/>
      </c>
      <c r="U443" s="34" t="str">
        <f>IF(OR($Q443="",$R443=""),"",MAX(0,ROUND(($R443-$Q443)*1440,0)))</f>
        <v/>
      </c>
      <c r="V443" s="35" t="str">
        <f>IF($A443="","",IF($O443="No-show","Sim","Não"))</f>
        <v/>
      </c>
      <c r="W443" s="32"/>
    </row>
    <row r="444" spans="1:23" x14ac:dyDescent="0.25">
      <c r="A444" s="24"/>
      <c r="B444" s="25"/>
      <c r="C444" s="26"/>
      <c r="D444" s="24"/>
      <c r="E444" s="24"/>
      <c r="F444" s="24"/>
      <c r="G444" s="24"/>
      <c r="H444" s="24"/>
      <c r="I444" s="24"/>
      <c r="J444" s="27"/>
      <c r="K444" s="24"/>
      <c r="L444" s="24"/>
      <c r="M444" s="24"/>
      <c r="N444" s="24"/>
      <c r="O444" s="24"/>
      <c r="P444" s="26"/>
      <c r="Q444" s="26"/>
      <c r="R444" s="26"/>
      <c r="S444" s="34" t="str">
        <f>IF(OR($C444="",$P444=""),"",MAX(0,ROUND(($P444-$C444)*1440,0)))</f>
        <v/>
      </c>
      <c r="T444" s="34" t="str">
        <f>IF(OR($P444="",$Q444=""),"",MAX(0,ROUND(($Q444-$P444)*1440,0)))</f>
        <v/>
      </c>
      <c r="U444" s="34" t="str">
        <f>IF(OR($Q444="",$R444=""),"",MAX(0,ROUND(($R444-$Q444)*1440,0)))</f>
        <v/>
      </c>
      <c r="V444" s="35" t="str">
        <f>IF($A444="","",IF($O444="No-show","Sim","Não"))</f>
        <v/>
      </c>
      <c r="W444" s="32"/>
    </row>
    <row r="445" spans="1:23" x14ac:dyDescent="0.25">
      <c r="A445" s="24"/>
      <c r="B445" s="25"/>
      <c r="C445" s="26"/>
      <c r="D445" s="24"/>
      <c r="E445" s="24"/>
      <c r="F445" s="24"/>
      <c r="G445" s="24"/>
      <c r="H445" s="24"/>
      <c r="I445" s="24"/>
      <c r="J445" s="27"/>
      <c r="K445" s="24"/>
      <c r="L445" s="24"/>
      <c r="M445" s="24"/>
      <c r="N445" s="24"/>
      <c r="O445" s="24"/>
      <c r="P445" s="26"/>
      <c r="Q445" s="26"/>
      <c r="R445" s="26"/>
      <c r="S445" s="34" t="str">
        <f>IF(OR($C445="",$P445=""),"",MAX(0,ROUND(($P445-$C445)*1440,0)))</f>
        <v/>
      </c>
      <c r="T445" s="34" t="str">
        <f>IF(OR($P445="",$Q445=""),"",MAX(0,ROUND(($Q445-$P445)*1440,0)))</f>
        <v/>
      </c>
      <c r="U445" s="34" t="str">
        <f>IF(OR($Q445="",$R445=""),"",MAX(0,ROUND(($R445-$Q445)*1440,0)))</f>
        <v/>
      </c>
      <c r="V445" s="35" t="str">
        <f>IF($A445="","",IF($O445="No-show","Sim","Não"))</f>
        <v/>
      </c>
      <c r="W445" s="32"/>
    </row>
    <row r="446" spans="1:23" x14ac:dyDescent="0.25">
      <c r="A446" s="24"/>
      <c r="B446" s="25"/>
      <c r="C446" s="26"/>
      <c r="D446" s="24"/>
      <c r="E446" s="24"/>
      <c r="F446" s="24"/>
      <c r="G446" s="24"/>
      <c r="H446" s="24"/>
      <c r="I446" s="24"/>
      <c r="J446" s="27"/>
      <c r="K446" s="24"/>
      <c r="L446" s="24"/>
      <c r="M446" s="24"/>
      <c r="N446" s="24"/>
      <c r="O446" s="24"/>
      <c r="P446" s="26"/>
      <c r="Q446" s="26"/>
      <c r="R446" s="26"/>
      <c r="S446" s="34" t="str">
        <f>IF(OR($C446="",$P446=""),"",MAX(0,ROUND(($P446-$C446)*1440,0)))</f>
        <v/>
      </c>
      <c r="T446" s="34" t="str">
        <f>IF(OR($P446="",$Q446=""),"",MAX(0,ROUND(($Q446-$P446)*1440,0)))</f>
        <v/>
      </c>
      <c r="U446" s="34" t="str">
        <f>IF(OR($Q446="",$R446=""),"",MAX(0,ROUND(($R446-$Q446)*1440,0)))</f>
        <v/>
      </c>
      <c r="V446" s="35" t="str">
        <f>IF($A446="","",IF($O446="No-show","Sim","Não"))</f>
        <v/>
      </c>
      <c r="W446" s="32"/>
    </row>
    <row r="447" spans="1:23" x14ac:dyDescent="0.25">
      <c r="A447" s="24"/>
      <c r="B447" s="25"/>
      <c r="C447" s="26"/>
      <c r="D447" s="24"/>
      <c r="E447" s="24"/>
      <c r="F447" s="24"/>
      <c r="G447" s="24"/>
      <c r="H447" s="24"/>
      <c r="I447" s="24"/>
      <c r="J447" s="27"/>
      <c r="K447" s="24"/>
      <c r="L447" s="24"/>
      <c r="M447" s="24"/>
      <c r="N447" s="24"/>
      <c r="O447" s="24"/>
      <c r="P447" s="26"/>
      <c r="Q447" s="26"/>
      <c r="R447" s="26"/>
      <c r="S447" s="34" t="str">
        <f>IF(OR($C447="",$P447=""),"",MAX(0,ROUND(($P447-$C447)*1440,0)))</f>
        <v/>
      </c>
      <c r="T447" s="34" t="str">
        <f>IF(OR($P447="",$Q447=""),"",MAX(0,ROUND(($Q447-$P447)*1440,0)))</f>
        <v/>
      </c>
      <c r="U447" s="34" t="str">
        <f>IF(OR($Q447="",$R447=""),"",MAX(0,ROUND(($R447-$Q447)*1440,0)))</f>
        <v/>
      </c>
      <c r="V447" s="35" t="str">
        <f>IF($A447="","",IF($O447="No-show","Sim","Não"))</f>
        <v/>
      </c>
      <c r="W447" s="32"/>
    </row>
    <row r="448" spans="1:23" x14ac:dyDescent="0.25">
      <c r="A448" s="24"/>
      <c r="B448" s="25"/>
      <c r="C448" s="26"/>
      <c r="D448" s="24"/>
      <c r="E448" s="24"/>
      <c r="F448" s="24"/>
      <c r="G448" s="24"/>
      <c r="H448" s="24"/>
      <c r="I448" s="24"/>
      <c r="J448" s="27"/>
      <c r="K448" s="24"/>
      <c r="L448" s="24"/>
      <c r="M448" s="24"/>
      <c r="N448" s="24"/>
      <c r="O448" s="24"/>
      <c r="P448" s="26"/>
      <c r="Q448" s="26"/>
      <c r="R448" s="26"/>
      <c r="S448" s="34" t="str">
        <f>IF(OR($C448="",$P448=""),"",MAX(0,ROUND(($P448-$C448)*1440,0)))</f>
        <v/>
      </c>
      <c r="T448" s="34" t="str">
        <f>IF(OR($P448="",$Q448=""),"",MAX(0,ROUND(($Q448-$P448)*1440,0)))</f>
        <v/>
      </c>
      <c r="U448" s="34" t="str">
        <f>IF(OR($Q448="",$R448=""),"",MAX(0,ROUND(($R448-$Q448)*1440,0)))</f>
        <v/>
      </c>
      <c r="V448" s="35" t="str">
        <f>IF($A448="","",IF($O448="No-show","Sim","Não"))</f>
        <v/>
      </c>
      <c r="W448" s="32"/>
    </row>
    <row r="449" spans="1:23" x14ac:dyDescent="0.25">
      <c r="A449" s="24"/>
      <c r="B449" s="25"/>
      <c r="C449" s="26"/>
      <c r="D449" s="24"/>
      <c r="E449" s="24"/>
      <c r="F449" s="24"/>
      <c r="G449" s="24"/>
      <c r="H449" s="24"/>
      <c r="I449" s="24"/>
      <c r="J449" s="27"/>
      <c r="K449" s="24"/>
      <c r="L449" s="24"/>
      <c r="M449" s="24"/>
      <c r="N449" s="24"/>
      <c r="O449" s="24"/>
      <c r="P449" s="26"/>
      <c r="Q449" s="26"/>
      <c r="R449" s="26"/>
      <c r="S449" s="34" t="str">
        <f>IF(OR($C449="",$P449=""),"",MAX(0,ROUND(($P449-$C449)*1440,0)))</f>
        <v/>
      </c>
      <c r="T449" s="34" t="str">
        <f>IF(OR($P449="",$Q449=""),"",MAX(0,ROUND(($Q449-$P449)*1440,0)))</f>
        <v/>
      </c>
      <c r="U449" s="34" t="str">
        <f>IF(OR($Q449="",$R449=""),"",MAX(0,ROUND(($R449-$Q449)*1440,0)))</f>
        <v/>
      </c>
      <c r="V449" s="35" t="str">
        <f>IF($A449="","",IF($O449="No-show","Sim","Não"))</f>
        <v/>
      </c>
      <c r="W449" s="32"/>
    </row>
    <row r="450" spans="1:23" x14ac:dyDescent="0.25">
      <c r="A450" s="24"/>
      <c r="B450" s="25"/>
      <c r="C450" s="26"/>
      <c r="D450" s="24"/>
      <c r="E450" s="24"/>
      <c r="F450" s="24"/>
      <c r="G450" s="24"/>
      <c r="H450" s="24"/>
      <c r="I450" s="24"/>
      <c r="J450" s="27"/>
      <c r="K450" s="24"/>
      <c r="L450" s="24"/>
      <c r="M450" s="24"/>
      <c r="N450" s="24"/>
      <c r="O450" s="24"/>
      <c r="P450" s="26"/>
      <c r="Q450" s="26"/>
      <c r="R450" s="26"/>
      <c r="S450" s="34" t="str">
        <f>IF(OR($C450="",$P450=""),"",MAX(0,ROUND(($P450-$C450)*1440,0)))</f>
        <v/>
      </c>
      <c r="T450" s="34" t="str">
        <f>IF(OR($P450="",$Q450=""),"",MAX(0,ROUND(($Q450-$P450)*1440,0)))</f>
        <v/>
      </c>
      <c r="U450" s="34" t="str">
        <f>IF(OR($Q450="",$R450=""),"",MAX(0,ROUND(($R450-$Q450)*1440,0)))</f>
        <v/>
      </c>
      <c r="V450" s="35" t="str">
        <f>IF($A450="","",IF($O450="No-show","Sim","Não"))</f>
        <v/>
      </c>
      <c r="W450" s="32"/>
    </row>
    <row r="451" spans="1:23" x14ac:dyDescent="0.25">
      <c r="A451" s="24"/>
      <c r="B451" s="25"/>
      <c r="C451" s="26"/>
      <c r="D451" s="24"/>
      <c r="E451" s="24"/>
      <c r="F451" s="24"/>
      <c r="G451" s="24"/>
      <c r="H451" s="24"/>
      <c r="I451" s="24"/>
      <c r="J451" s="27"/>
      <c r="K451" s="24"/>
      <c r="L451" s="24"/>
      <c r="M451" s="24"/>
      <c r="N451" s="24"/>
      <c r="O451" s="24"/>
      <c r="P451" s="26"/>
      <c r="Q451" s="26"/>
      <c r="R451" s="26"/>
      <c r="S451" s="34" t="str">
        <f>IF(OR($C451="",$P451=""),"",MAX(0,ROUND(($P451-$C451)*1440,0)))</f>
        <v/>
      </c>
      <c r="T451" s="34" t="str">
        <f>IF(OR($P451="",$Q451=""),"",MAX(0,ROUND(($Q451-$P451)*1440,0)))</f>
        <v/>
      </c>
      <c r="U451" s="34" t="str">
        <f>IF(OR($Q451="",$R451=""),"",MAX(0,ROUND(($R451-$Q451)*1440,0)))</f>
        <v/>
      </c>
      <c r="V451" s="35" t="str">
        <f>IF($A451="","",IF($O451="No-show","Sim","Não"))</f>
        <v/>
      </c>
      <c r="W451" s="32"/>
    </row>
    <row r="452" spans="1:23" x14ac:dyDescent="0.25">
      <c r="A452" s="24"/>
      <c r="B452" s="25"/>
      <c r="C452" s="26"/>
      <c r="D452" s="24"/>
      <c r="E452" s="24"/>
      <c r="F452" s="24"/>
      <c r="G452" s="24"/>
      <c r="H452" s="24"/>
      <c r="I452" s="24"/>
      <c r="J452" s="27"/>
      <c r="K452" s="24"/>
      <c r="L452" s="24"/>
      <c r="M452" s="24"/>
      <c r="N452" s="24"/>
      <c r="O452" s="24"/>
      <c r="P452" s="26"/>
      <c r="Q452" s="26"/>
      <c r="R452" s="26"/>
      <c r="S452" s="34" t="str">
        <f>IF(OR($C452="",$P452=""),"",MAX(0,ROUND(($P452-$C452)*1440,0)))</f>
        <v/>
      </c>
      <c r="T452" s="34" t="str">
        <f>IF(OR($P452="",$Q452=""),"",MAX(0,ROUND(($Q452-$P452)*1440,0)))</f>
        <v/>
      </c>
      <c r="U452" s="34" t="str">
        <f>IF(OR($Q452="",$R452=""),"",MAX(0,ROUND(($R452-$Q452)*1440,0)))</f>
        <v/>
      </c>
      <c r="V452" s="35" t="str">
        <f>IF($A452="","",IF($O452="No-show","Sim","Não"))</f>
        <v/>
      </c>
      <c r="W452" s="32"/>
    </row>
    <row r="453" spans="1:23" x14ac:dyDescent="0.25">
      <c r="A453" s="24"/>
      <c r="B453" s="25"/>
      <c r="C453" s="26"/>
      <c r="D453" s="24"/>
      <c r="E453" s="24"/>
      <c r="F453" s="24"/>
      <c r="G453" s="24"/>
      <c r="H453" s="24"/>
      <c r="I453" s="24"/>
      <c r="J453" s="27"/>
      <c r="K453" s="24"/>
      <c r="L453" s="24"/>
      <c r="M453" s="24"/>
      <c r="N453" s="24"/>
      <c r="O453" s="24"/>
      <c r="P453" s="26"/>
      <c r="Q453" s="26"/>
      <c r="R453" s="26"/>
      <c r="S453" s="34" t="str">
        <f>IF(OR($C453="",$P453=""),"",MAX(0,ROUND(($P453-$C453)*1440,0)))</f>
        <v/>
      </c>
      <c r="T453" s="34" t="str">
        <f>IF(OR($P453="",$Q453=""),"",MAX(0,ROUND(($Q453-$P453)*1440,0)))</f>
        <v/>
      </c>
      <c r="U453" s="34" t="str">
        <f>IF(OR($Q453="",$R453=""),"",MAX(0,ROUND(($R453-$Q453)*1440,0)))</f>
        <v/>
      </c>
      <c r="V453" s="35" t="str">
        <f>IF($A453="","",IF($O453="No-show","Sim","Não"))</f>
        <v/>
      </c>
      <c r="W453" s="32"/>
    </row>
    <row r="454" spans="1:23" x14ac:dyDescent="0.25">
      <c r="A454" s="24"/>
      <c r="B454" s="25"/>
      <c r="C454" s="26"/>
      <c r="D454" s="24"/>
      <c r="E454" s="24"/>
      <c r="F454" s="24"/>
      <c r="G454" s="24"/>
      <c r="H454" s="24"/>
      <c r="I454" s="24"/>
      <c r="J454" s="27"/>
      <c r="K454" s="24"/>
      <c r="L454" s="24"/>
      <c r="M454" s="24"/>
      <c r="N454" s="24"/>
      <c r="O454" s="24"/>
      <c r="P454" s="26"/>
      <c r="Q454" s="26"/>
      <c r="R454" s="26"/>
      <c r="S454" s="34" t="str">
        <f>IF(OR($C454="",$P454=""),"",MAX(0,ROUND(($P454-$C454)*1440,0)))</f>
        <v/>
      </c>
      <c r="T454" s="34" t="str">
        <f>IF(OR($P454="",$Q454=""),"",MAX(0,ROUND(($Q454-$P454)*1440,0)))</f>
        <v/>
      </c>
      <c r="U454" s="34" t="str">
        <f>IF(OR($Q454="",$R454=""),"",MAX(0,ROUND(($R454-$Q454)*1440,0)))</f>
        <v/>
      </c>
      <c r="V454" s="35" t="str">
        <f>IF($A454="","",IF($O454="No-show","Sim","Não"))</f>
        <v/>
      </c>
      <c r="W454" s="32"/>
    </row>
    <row r="455" spans="1:23" x14ac:dyDescent="0.25">
      <c r="A455" s="24"/>
      <c r="B455" s="25"/>
      <c r="C455" s="26"/>
      <c r="D455" s="24"/>
      <c r="E455" s="24"/>
      <c r="F455" s="24"/>
      <c r="G455" s="24"/>
      <c r="H455" s="24"/>
      <c r="I455" s="24"/>
      <c r="J455" s="27"/>
      <c r="K455" s="24"/>
      <c r="L455" s="24"/>
      <c r="M455" s="24"/>
      <c r="N455" s="24"/>
      <c r="O455" s="24"/>
      <c r="P455" s="26"/>
      <c r="Q455" s="26"/>
      <c r="R455" s="26"/>
      <c r="S455" s="34" t="str">
        <f>IF(OR($C455="",$P455=""),"",MAX(0,ROUND(($P455-$C455)*1440,0)))</f>
        <v/>
      </c>
      <c r="T455" s="34" t="str">
        <f>IF(OR($P455="",$Q455=""),"",MAX(0,ROUND(($Q455-$P455)*1440,0)))</f>
        <v/>
      </c>
      <c r="U455" s="34" t="str">
        <f>IF(OR($Q455="",$R455=""),"",MAX(0,ROUND(($R455-$Q455)*1440,0)))</f>
        <v/>
      </c>
      <c r="V455" s="35" t="str">
        <f>IF($A455="","",IF($O455="No-show","Sim","Não"))</f>
        <v/>
      </c>
      <c r="W455" s="32"/>
    </row>
    <row r="456" spans="1:23" x14ac:dyDescent="0.25">
      <c r="A456" s="24"/>
      <c r="B456" s="25"/>
      <c r="C456" s="26"/>
      <c r="D456" s="24"/>
      <c r="E456" s="24"/>
      <c r="F456" s="24"/>
      <c r="G456" s="24"/>
      <c r="H456" s="24"/>
      <c r="I456" s="24"/>
      <c r="J456" s="27"/>
      <c r="K456" s="24"/>
      <c r="L456" s="24"/>
      <c r="M456" s="24"/>
      <c r="N456" s="24"/>
      <c r="O456" s="24"/>
      <c r="P456" s="26"/>
      <c r="Q456" s="26"/>
      <c r="R456" s="26"/>
      <c r="S456" s="34" t="str">
        <f>IF(OR($C456="",$P456=""),"",MAX(0,ROUND(($P456-$C456)*1440,0)))</f>
        <v/>
      </c>
      <c r="T456" s="34" t="str">
        <f>IF(OR($P456="",$Q456=""),"",MAX(0,ROUND(($Q456-$P456)*1440,0)))</f>
        <v/>
      </c>
      <c r="U456" s="34" t="str">
        <f>IF(OR($Q456="",$R456=""),"",MAX(0,ROUND(($R456-$Q456)*1440,0)))</f>
        <v/>
      </c>
      <c r="V456" s="35" t="str">
        <f>IF($A456="","",IF($O456="No-show","Sim","Não"))</f>
        <v/>
      </c>
      <c r="W456" s="32"/>
    </row>
    <row r="457" spans="1:23" x14ac:dyDescent="0.25">
      <c r="A457" s="24"/>
      <c r="B457" s="25"/>
      <c r="C457" s="26"/>
      <c r="D457" s="24"/>
      <c r="E457" s="24"/>
      <c r="F457" s="24"/>
      <c r="G457" s="24"/>
      <c r="H457" s="24"/>
      <c r="I457" s="24"/>
      <c r="J457" s="27"/>
      <c r="K457" s="24"/>
      <c r="L457" s="24"/>
      <c r="M457" s="24"/>
      <c r="N457" s="24"/>
      <c r="O457" s="24"/>
      <c r="P457" s="26"/>
      <c r="Q457" s="26"/>
      <c r="R457" s="26"/>
      <c r="S457" s="34" t="str">
        <f>IF(OR($C457="",$P457=""),"",MAX(0,ROUND(($P457-$C457)*1440,0)))</f>
        <v/>
      </c>
      <c r="T457" s="34" t="str">
        <f>IF(OR($P457="",$Q457=""),"",MAX(0,ROUND(($Q457-$P457)*1440,0)))</f>
        <v/>
      </c>
      <c r="U457" s="34" t="str">
        <f>IF(OR($Q457="",$R457=""),"",MAX(0,ROUND(($R457-$Q457)*1440,0)))</f>
        <v/>
      </c>
      <c r="V457" s="35" t="str">
        <f>IF($A457="","",IF($O457="No-show","Sim","Não"))</f>
        <v/>
      </c>
      <c r="W457" s="32"/>
    </row>
    <row r="458" spans="1:23" x14ac:dyDescent="0.25">
      <c r="A458" s="24"/>
      <c r="B458" s="25"/>
      <c r="C458" s="26"/>
      <c r="D458" s="24"/>
      <c r="E458" s="24"/>
      <c r="F458" s="24"/>
      <c r="G458" s="24"/>
      <c r="H458" s="24"/>
      <c r="I458" s="24"/>
      <c r="J458" s="27"/>
      <c r="K458" s="24"/>
      <c r="L458" s="24"/>
      <c r="M458" s="24"/>
      <c r="N458" s="24"/>
      <c r="O458" s="24"/>
      <c r="P458" s="26"/>
      <c r="Q458" s="26"/>
      <c r="R458" s="26"/>
      <c r="S458" s="34" t="str">
        <f>IF(OR($C458="",$P458=""),"",MAX(0,ROUND(($P458-$C458)*1440,0)))</f>
        <v/>
      </c>
      <c r="T458" s="34" t="str">
        <f>IF(OR($P458="",$Q458=""),"",MAX(0,ROUND(($Q458-$P458)*1440,0)))</f>
        <v/>
      </c>
      <c r="U458" s="34" t="str">
        <f>IF(OR($Q458="",$R458=""),"",MAX(0,ROUND(($R458-$Q458)*1440,0)))</f>
        <v/>
      </c>
      <c r="V458" s="35" t="str">
        <f>IF($A458="","",IF($O458="No-show","Sim","Não"))</f>
        <v/>
      </c>
      <c r="W458" s="32"/>
    </row>
    <row r="459" spans="1:23" x14ac:dyDescent="0.25">
      <c r="A459" s="24"/>
      <c r="B459" s="25"/>
      <c r="C459" s="26"/>
      <c r="D459" s="24"/>
      <c r="E459" s="24"/>
      <c r="F459" s="24"/>
      <c r="G459" s="24"/>
      <c r="H459" s="24"/>
      <c r="I459" s="24"/>
      <c r="J459" s="27"/>
      <c r="K459" s="24"/>
      <c r="L459" s="24"/>
      <c r="M459" s="24"/>
      <c r="N459" s="24"/>
      <c r="O459" s="24"/>
      <c r="P459" s="26"/>
      <c r="Q459" s="26"/>
      <c r="R459" s="26"/>
      <c r="S459" s="34" t="str">
        <f>IF(OR($C459="",$P459=""),"",MAX(0,ROUND(($P459-$C459)*1440,0)))</f>
        <v/>
      </c>
      <c r="T459" s="34" t="str">
        <f>IF(OR($P459="",$Q459=""),"",MAX(0,ROUND(($Q459-$P459)*1440,0)))</f>
        <v/>
      </c>
      <c r="U459" s="34" t="str">
        <f>IF(OR($Q459="",$R459=""),"",MAX(0,ROUND(($R459-$Q459)*1440,0)))</f>
        <v/>
      </c>
      <c r="V459" s="35" t="str">
        <f>IF($A459="","",IF($O459="No-show","Sim","Não"))</f>
        <v/>
      </c>
      <c r="W459" s="32"/>
    </row>
    <row r="460" spans="1:23" x14ac:dyDescent="0.25">
      <c r="A460" s="24"/>
      <c r="B460" s="25"/>
      <c r="C460" s="26"/>
      <c r="D460" s="24"/>
      <c r="E460" s="24"/>
      <c r="F460" s="24"/>
      <c r="G460" s="24"/>
      <c r="H460" s="24"/>
      <c r="I460" s="24"/>
      <c r="J460" s="27"/>
      <c r="K460" s="24"/>
      <c r="L460" s="24"/>
      <c r="M460" s="24"/>
      <c r="N460" s="24"/>
      <c r="O460" s="24"/>
      <c r="P460" s="26"/>
      <c r="Q460" s="26"/>
      <c r="R460" s="26"/>
      <c r="S460" s="34" t="str">
        <f>IF(OR($C460="",$P460=""),"",MAX(0,ROUND(($P460-$C460)*1440,0)))</f>
        <v/>
      </c>
      <c r="T460" s="34" t="str">
        <f>IF(OR($P460="",$Q460=""),"",MAX(0,ROUND(($Q460-$P460)*1440,0)))</f>
        <v/>
      </c>
      <c r="U460" s="34" t="str">
        <f>IF(OR($Q460="",$R460=""),"",MAX(0,ROUND(($R460-$Q460)*1440,0)))</f>
        <v/>
      </c>
      <c r="V460" s="35" t="str">
        <f>IF($A460="","",IF($O460="No-show","Sim","Não"))</f>
        <v/>
      </c>
      <c r="W460" s="32"/>
    </row>
    <row r="461" spans="1:23" x14ac:dyDescent="0.25">
      <c r="A461" s="24"/>
      <c r="B461" s="25"/>
      <c r="C461" s="26"/>
      <c r="D461" s="24"/>
      <c r="E461" s="24"/>
      <c r="F461" s="24"/>
      <c r="G461" s="24"/>
      <c r="H461" s="24"/>
      <c r="I461" s="24"/>
      <c r="J461" s="27"/>
      <c r="K461" s="24"/>
      <c r="L461" s="24"/>
      <c r="M461" s="24"/>
      <c r="N461" s="24"/>
      <c r="O461" s="24"/>
      <c r="P461" s="26"/>
      <c r="Q461" s="26"/>
      <c r="R461" s="26"/>
      <c r="S461" s="34" t="str">
        <f>IF(OR($C461="",$P461=""),"",MAX(0,ROUND(($P461-$C461)*1440,0)))</f>
        <v/>
      </c>
      <c r="T461" s="34" t="str">
        <f>IF(OR($P461="",$Q461=""),"",MAX(0,ROUND(($Q461-$P461)*1440,0)))</f>
        <v/>
      </c>
      <c r="U461" s="34" t="str">
        <f>IF(OR($Q461="",$R461=""),"",MAX(0,ROUND(($R461-$Q461)*1440,0)))</f>
        <v/>
      </c>
      <c r="V461" s="35" t="str">
        <f>IF($A461="","",IF($O461="No-show","Sim","Não"))</f>
        <v/>
      </c>
      <c r="W461" s="32"/>
    </row>
    <row r="462" spans="1:23" x14ac:dyDescent="0.25">
      <c r="A462" s="24"/>
      <c r="B462" s="25"/>
      <c r="C462" s="26"/>
      <c r="D462" s="24"/>
      <c r="E462" s="24"/>
      <c r="F462" s="24"/>
      <c r="G462" s="24"/>
      <c r="H462" s="24"/>
      <c r="I462" s="24"/>
      <c r="J462" s="27"/>
      <c r="K462" s="24"/>
      <c r="L462" s="24"/>
      <c r="M462" s="24"/>
      <c r="N462" s="24"/>
      <c r="O462" s="24"/>
      <c r="P462" s="26"/>
      <c r="Q462" s="26"/>
      <c r="R462" s="26"/>
      <c r="S462" s="34" t="str">
        <f>IF(OR($C462="",$P462=""),"",MAX(0,ROUND(($P462-$C462)*1440,0)))</f>
        <v/>
      </c>
      <c r="T462" s="34" t="str">
        <f>IF(OR($P462="",$Q462=""),"",MAX(0,ROUND(($Q462-$P462)*1440,0)))</f>
        <v/>
      </c>
      <c r="U462" s="34" t="str">
        <f>IF(OR($Q462="",$R462=""),"",MAX(0,ROUND(($R462-$Q462)*1440,0)))</f>
        <v/>
      </c>
      <c r="V462" s="35" t="str">
        <f>IF($A462="","",IF($O462="No-show","Sim","Não"))</f>
        <v/>
      </c>
      <c r="W462" s="32"/>
    </row>
    <row r="463" spans="1:23" x14ac:dyDescent="0.25">
      <c r="A463" s="24"/>
      <c r="B463" s="25"/>
      <c r="C463" s="26"/>
      <c r="D463" s="24"/>
      <c r="E463" s="24"/>
      <c r="F463" s="24"/>
      <c r="G463" s="24"/>
      <c r="H463" s="24"/>
      <c r="I463" s="24"/>
      <c r="J463" s="27"/>
      <c r="K463" s="24"/>
      <c r="L463" s="24"/>
      <c r="M463" s="24"/>
      <c r="N463" s="24"/>
      <c r="O463" s="24"/>
      <c r="P463" s="26"/>
      <c r="Q463" s="26"/>
      <c r="R463" s="26"/>
      <c r="S463" s="34" t="str">
        <f>IF(OR($C463="",$P463=""),"",MAX(0,ROUND(($P463-$C463)*1440,0)))</f>
        <v/>
      </c>
      <c r="T463" s="34" t="str">
        <f>IF(OR($P463="",$Q463=""),"",MAX(0,ROUND(($Q463-$P463)*1440,0)))</f>
        <v/>
      </c>
      <c r="U463" s="34" t="str">
        <f>IF(OR($Q463="",$R463=""),"",MAX(0,ROUND(($R463-$Q463)*1440,0)))</f>
        <v/>
      </c>
      <c r="V463" s="35" t="str">
        <f>IF($A463="","",IF($O463="No-show","Sim","Não"))</f>
        <v/>
      </c>
      <c r="W463" s="32"/>
    </row>
    <row r="464" spans="1:23" x14ac:dyDescent="0.25">
      <c r="A464" s="24"/>
      <c r="B464" s="25"/>
      <c r="C464" s="26"/>
      <c r="D464" s="24"/>
      <c r="E464" s="24"/>
      <c r="F464" s="24"/>
      <c r="G464" s="24"/>
      <c r="H464" s="24"/>
      <c r="I464" s="24"/>
      <c r="J464" s="27"/>
      <c r="K464" s="24"/>
      <c r="L464" s="24"/>
      <c r="M464" s="24"/>
      <c r="N464" s="24"/>
      <c r="O464" s="24"/>
      <c r="P464" s="26"/>
      <c r="Q464" s="26"/>
      <c r="R464" s="26"/>
      <c r="S464" s="34" t="str">
        <f>IF(OR($C464="",$P464=""),"",MAX(0,ROUND(($P464-$C464)*1440,0)))</f>
        <v/>
      </c>
      <c r="T464" s="34" t="str">
        <f>IF(OR($P464="",$Q464=""),"",MAX(0,ROUND(($Q464-$P464)*1440,0)))</f>
        <v/>
      </c>
      <c r="U464" s="34" t="str">
        <f>IF(OR($Q464="",$R464=""),"",MAX(0,ROUND(($R464-$Q464)*1440,0)))</f>
        <v/>
      </c>
      <c r="V464" s="35" t="str">
        <f>IF($A464="","",IF($O464="No-show","Sim","Não"))</f>
        <v/>
      </c>
      <c r="W464" s="32"/>
    </row>
    <row r="465" spans="1:23" x14ac:dyDescent="0.25">
      <c r="A465" s="24"/>
      <c r="B465" s="25"/>
      <c r="C465" s="26"/>
      <c r="D465" s="24"/>
      <c r="E465" s="24"/>
      <c r="F465" s="24"/>
      <c r="G465" s="24"/>
      <c r="H465" s="24"/>
      <c r="I465" s="24"/>
      <c r="J465" s="27"/>
      <c r="K465" s="24"/>
      <c r="L465" s="24"/>
      <c r="M465" s="24"/>
      <c r="N465" s="24"/>
      <c r="O465" s="24"/>
      <c r="P465" s="26"/>
      <c r="Q465" s="26"/>
      <c r="R465" s="26"/>
      <c r="S465" s="34" t="str">
        <f>IF(OR($C465="",$P465=""),"",MAX(0,ROUND(($P465-$C465)*1440,0)))</f>
        <v/>
      </c>
      <c r="T465" s="34" t="str">
        <f>IF(OR($P465="",$Q465=""),"",MAX(0,ROUND(($Q465-$P465)*1440,0)))</f>
        <v/>
      </c>
      <c r="U465" s="34" t="str">
        <f>IF(OR($Q465="",$R465=""),"",MAX(0,ROUND(($R465-$Q465)*1440,0)))</f>
        <v/>
      </c>
      <c r="V465" s="35" t="str">
        <f>IF($A465="","",IF($O465="No-show","Sim","Não"))</f>
        <v/>
      </c>
      <c r="W465" s="32"/>
    </row>
    <row r="466" spans="1:23" x14ac:dyDescent="0.25">
      <c r="A466" s="24"/>
      <c r="B466" s="25"/>
      <c r="C466" s="26"/>
      <c r="D466" s="24"/>
      <c r="E466" s="24"/>
      <c r="F466" s="24"/>
      <c r="G466" s="24"/>
      <c r="H466" s="24"/>
      <c r="I466" s="24"/>
      <c r="J466" s="27"/>
      <c r="K466" s="24"/>
      <c r="L466" s="24"/>
      <c r="M466" s="24"/>
      <c r="N466" s="24"/>
      <c r="O466" s="24"/>
      <c r="P466" s="26"/>
      <c r="Q466" s="26"/>
      <c r="R466" s="26"/>
      <c r="S466" s="34" t="str">
        <f>IF(OR($C466="",$P466=""),"",MAX(0,ROUND(($P466-$C466)*1440,0)))</f>
        <v/>
      </c>
      <c r="T466" s="34" t="str">
        <f>IF(OR($P466="",$Q466=""),"",MAX(0,ROUND(($Q466-$P466)*1440,0)))</f>
        <v/>
      </c>
      <c r="U466" s="34" t="str">
        <f>IF(OR($Q466="",$R466=""),"",MAX(0,ROUND(($R466-$Q466)*1440,0)))</f>
        <v/>
      </c>
      <c r="V466" s="35" t="str">
        <f>IF($A466="","",IF($O466="No-show","Sim","Não"))</f>
        <v/>
      </c>
      <c r="W466" s="32"/>
    </row>
    <row r="467" spans="1:23" x14ac:dyDescent="0.25">
      <c r="A467" s="24"/>
      <c r="B467" s="25"/>
      <c r="C467" s="26"/>
      <c r="D467" s="24"/>
      <c r="E467" s="24"/>
      <c r="F467" s="24"/>
      <c r="G467" s="24"/>
      <c r="H467" s="24"/>
      <c r="I467" s="24"/>
      <c r="J467" s="27"/>
      <c r="K467" s="24"/>
      <c r="L467" s="24"/>
      <c r="M467" s="24"/>
      <c r="N467" s="24"/>
      <c r="O467" s="24"/>
      <c r="P467" s="26"/>
      <c r="Q467" s="26"/>
      <c r="R467" s="26"/>
      <c r="S467" s="34" t="str">
        <f>IF(OR($C467="",$P467=""),"",MAX(0,ROUND(($P467-$C467)*1440,0)))</f>
        <v/>
      </c>
      <c r="T467" s="34" t="str">
        <f>IF(OR($P467="",$Q467=""),"",MAX(0,ROUND(($Q467-$P467)*1440,0)))</f>
        <v/>
      </c>
      <c r="U467" s="34" t="str">
        <f>IF(OR($Q467="",$R467=""),"",MAX(0,ROUND(($R467-$Q467)*1440,0)))</f>
        <v/>
      </c>
      <c r="V467" s="35" t="str">
        <f>IF($A467="","",IF($O467="No-show","Sim","Não"))</f>
        <v/>
      </c>
      <c r="W467" s="32"/>
    </row>
    <row r="468" spans="1:23" x14ac:dyDescent="0.25">
      <c r="A468" s="24"/>
      <c r="B468" s="25"/>
      <c r="C468" s="26"/>
      <c r="D468" s="24"/>
      <c r="E468" s="24"/>
      <c r="F468" s="24"/>
      <c r="G468" s="24"/>
      <c r="H468" s="24"/>
      <c r="I468" s="24"/>
      <c r="J468" s="27"/>
      <c r="K468" s="24"/>
      <c r="L468" s="24"/>
      <c r="M468" s="24"/>
      <c r="N468" s="24"/>
      <c r="O468" s="24"/>
      <c r="P468" s="26"/>
      <c r="Q468" s="26"/>
      <c r="R468" s="26"/>
      <c r="S468" s="34" t="str">
        <f>IF(OR($C468="",$P468=""),"",MAX(0,ROUND(($P468-$C468)*1440,0)))</f>
        <v/>
      </c>
      <c r="T468" s="34" t="str">
        <f>IF(OR($P468="",$Q468=""),"",MAX(0,ROUND(($Q468-$P468)*1440,0)))</f>
        <v/>
      </c>
      <c r="U468" s="34" t="str">
        <f>IF(OR($Q468="",$R468=""),"",MAX(0,ROUND(($R468-$Q468)*1440,0)))</f>
        <v/>
      </c>
      <c r="V468" s="35" t="str">
        <f>IF($A468="","",IF($O468="No-show","Sim","Não"))</f>
        <v/>
      </c>
      <c r="W468" s="32"/>
    </row>
    <row r="469" spans="1:23" x14ac:dyDescent="0.25">
      <c r="A469" s="24"/>
      <c r="B469" s="25"/>
      <c r="C469" s="26"/>
      <c r="D469" s="24"/>
      <c r="E469" s="24"/>
      <c r="F469" s="24"/>
      <c r="G469" s="24"/>
      <c r="H469" s="24"/>
      <c r="I469" s="24"/>
      <c r="J469" s="27"/>
      <c r="K469" s="24"/>
      <c r="L469" s="24"/>
      <c r="M469" s="24"/>
      <c r="N469" s="24"/>
      <c r="O469" s="24"/>
      <c r="P469" s="26"/>
      <c r="Q469" s="26"/>
      <c r="R469" s="26"/>
      <c r="S469" s="34" t="str">
        <f>IF(OR($C469="",$P469=""),"",MAX(0,ROUND(($P469-$C469)*1440,0)))</f>
        <v/>
      </c>
      <c r="T469" s="34" t="str">
        <f>IF(OR($P469="",$Q469=""),"",MAX(0,ROUND(($Q469-$P469)*1440,0)))</f>
        <v/>
      </c>
      <c r="U469" s="34" t="str">
        <f>IF(OR($Q469="",$R469=""),"",MAX(0,ROUND(($R469-$Q469)*1440,0)))</f>
        <v/>
      </c>
      <c r="V469" s="35" t="str">
        <f>IF($A469="","",IF($O469="No-show","Sim","Não"))</f>
        <v/>
      </c>
      <c r="W469" s="32"/>
    </row>
    <row r="470" spans="1:23" x14ac:dyDescent="0.25">
      <c r="A470" s="24"/>
      <c r="B470" s="25"/>
      <c r="C470" s="26"/>
      <c r="D470" s="24"/>
      <c r="E470" s="24"/>
      <c r="F470" s="24"/>
      <c r="G470" s="24"/>
      <c r="H470" s="24"/>
      <c r="I470" s="24"/>
      <c r="J470" s="27"/>
      <c r="K470" s="24"/>
      <c r="L470" s="24"/>
      <c r="M470" s="24"/>
      <c r="N470" s="24"/>
      <c r="O470" s="24"/>
      <c r="P470" s="26"/>
      <c r="Q470" s="26"/>
      <c r="R470" s="26"/>
      <c r="S470" s="34" t="str">
        <f>IF(OR($C470="",$P470=""),"",MAX(0,ROUND(($P470-$C470)*1440,0)))</f>
        <v/>
      </c>
      <c r="T470" s="34" t="str">
        <f>IF(OR($P470="",$Q470=""),"",MAX(0,ROUND(($Q470-$P470)*1440,0)))</f>
        <v/>
      </c>
      <c r="U470" s="34" t="str">
        <f>IF(OR($Q470="",$R470=""),"",MAX(0,ROUND(($R470-$Q470)*1440,0)))</f>
        <v/>
      </c>
      <c r="V470" s="35" t="str">
        <f>IF($A470="","",IF($O470="No-show","Sim","Não"))</f>
        <v/>
      </c>
      <c r="W470" s="32"/>
    </row>
    <row r="471" spans="1:23" x14ac:dyDescent="0.25">
      <c r="A471" s="24"/>
      <c r="B471" s="25"/>
      <c r="C471" s="26"/>
      <c r="D471" s="24"/>
      <c r="E471" s="24"/>
      <c r="F471" s="24"/>
      <c r="G471" s="24"/>
      <c r="H471" s="24"/>
      <c r="I471" s="24"/>
      <c r="J471" s="27"/>
      <c r="K471" s="24"/>
      <c r="L471" s="24"/>
      <c r="M471" s="24"/>
      <c r="N471" s="24"/>
      <c r="O471" s="24"/>
      <c r="P471" s="26"/>
      <c r="Q471" s="26"/>
      <c r="R471" s="26"/>
      <c r="S471" s="34" t="str">
        <f>IF(OR($C471="",$P471=""),"",MAX(0,ROUND(($P471-$C471)*1440,0)))</f>
        <v/>
      </c>
      <c r="T471" s="34" t="str">
        <f>IF(OR($P471="",$Q471=""),"",MAX(0,ROUND(($Q471-$P471)*1440,0)))</f>
        <v/>
      </c>
      <c r="U471" s="34" t="str">
        <f>IF(OR($Q471="",$R471=""),"",MAX(0,ROUND(($R471-$Q471)*1440,0)))</f>
        <v/>
      </c>
      <c r="V471" s="35" t="str">
        <f>IF($A471="","",IF($O471="No-show","Sim","Não"))</f>
        <v/>
      </c>
      <c r="W471" s="32"/>
    </row>
    <row r="472" spans="1:23" x14ac:dyDescent="0.25">
      <c r="A472" s="24"/>
      <c r="B472" s="25"/>
      <c r="C472" s="26"/>
      <c r="D472" s="24"/>
      <c r="E472" s="24"/>
      <c r="F472" s="24"/>
      <c r="G472" s="24"/>
      <c r="H472" s="24"/>
      <c r="I472" s="24"/>
      <c r="J472" s="27"/>
      <c r="K472" s="24"/>
      <c r="L472" s="24"/>
      <c r="M472" s="24"/>
      <c r="N472" s="24"/>
      <c r="O472" s="24"/>
      <c r="P472" s="26"/>
      <c r="Q472" s="26"/>
      <c r="R472" s="26"/>
      <c r="S472" s="34" t="str">
        <f>IF(OR($C472="",$P472=""),"",MAX(0,ROUND(($P472-$C472)*1440,0)))</f>
        <v/>
      </c>
      <c r="T472" s="34" t="str">
        <f>IF(OR($P472="",$Q472=""),"",MAX(0,ROUND(($Q472-$P472)*1440,0)))</f>
        <v/>
      </c>
      <c r="U472" s="34" t="str">
        <f>IF(OR($Q472="",$R472=""),"",MAX(0,ROUND(($R472-$Q472)*1440,0)))</f>
        <v/>
      </c>
      <c r="V472" s="35" t="str">
        <f>IF($A472="","",IF($O472="No-show","Sim","Não"))</f>
        <v/>
      </c>
      <c r="W472" s="32"/>
    </row>
    <row r="473" spans="1:23" x14ac:dyDescent="0.25">
      <c r="A473" s="24"/>
      <c r="B473" s="25"/>
      <c r="C473" s="26"/>
      <c r="D473" s="24"/>
      <c r="E473" s="24"/>
      <c r="F473" s="24"/>
      <c r="G473" s="24"/>
      <c r="H473" s="24"/>
      <c r="I473" s="24"/>
      <c r="J473" s="27"/>
      <c r="K473" s="24"/>
      <c r="L473" s="24"/>
      <c r="M473" s="24"/>
      <c r="N473" s="24"/>
      <c r="O473" s="24"/>
      <c r="P473" s="26"/>
      <c r="Q473" s="26"/>
      <c r="R473" s="26"/>
      <c r="S473" s="34" t="str">
        <f>IF(OR($C473="",$P473=""),"",MAX(0,ROUND(($P473-$C473)*1440,0)))</f>
        <v/>
      </c>
      <c r="T473" s="34" t="str">
        <f>IF(OR($P473="",$Q473=""),"",MAX(0,ROUND(($Q473-$P473)*1440,0)))</f>
        <v/>
      </c>
      <c r="U473" s="34" t="str">
        <f>IF(OR($Q473="",$R473=""),"",MAX(0,ROUND(($R473-$Q473)*1440,0)))</f>
        <v/>
      </c>
      <c r="V473" s="35" t="str">
        <f>IF($A473="","",IF($O473="No-show","Sim","Não"))</f>
        <v/>
      </c>
      <c r="W473" s="32"/>
    </row>
    <row r="474" spans="1:23" x14ac:dyDescent="0.25">
      <c r="A474" s="24"/>
      <c r="B474" s="25"/>
      <c r="C474" s="26"/>
      <c r="D474" s="24"/>
      <c r="E474" s="24"/>
      <c r="F474" s="24"/>
      <c r="G474" s="24"/>
      <c r="H474" s="24"/>
      <c r="I474" s="24"/>
      <c r="J474" s="27"/>
      <c r="K474" s="24"/>
      <c r="L474" s="24"/>
      <c r="M474" s="24"/>
      <c r="N474" s="24"/>
      <c r="O474" s="24"/>
      <c r="P474" s="26"/>
      <c r="Q474" s="26"/>
      <c r="R474" s="26"/>
      <c r="S474" s="34" t="str">
        <f>IF(OR($C474="",$P474=""),"",MAX(0,ROUND(($P474-$C474)*1440,0)))</f>
        <v/>
      </c>
      <c r="T474" s="34" t="str">
        <f>IF(OR($P474="",$Q474=""),"",MAX(0,ROUND(($Q474-$P474)*1440,0)))</f>
        <v/>
      </c>
      <c r="U474" s="34" t="str">
        <f>IF(OR($Q474="",$R474=""),"",MAX(0,ROUND(($R474-$Q474)*1440,0)))</f>
        <v/>
      </c>
      <c r="V474" s="35" t="str">
        <f>IF($A474="","",IF($O474="No-show","Sim","Não"))</f>
        <v/>
      </c>
      <c r="W474" s="32"/>
    </row>
    <row r="475" spans="1:23" x14ac:dyDescent="0.25">
      <c r="A475" s="24"/>
      <c r="B475" s="25"/>
      <c r="C475" s="26"/>
      <c r="D475" s="24"/>
      <c r="E475" s="24"/>
      <c r="F475" s="24"/>
      <c r="G475" s="24"/>
      <c r="H475" s="24"/>
      <c r="I475" s="24"/>
      <c r="J475" s="27"/>
      <c r="K475" s="24"/>
      <c r="L475" s="24"/>
      <c r="M475" s="24"/>
      <c r="N475" s="24"/>
      <c r="O475" s="24"/>
      <c r="P475" s="26"/>
      <c r="Q475" s="26"/>
      <c r="R475" s="26"/>
      <c r="S475" s="34" t="str">
        <f>IF(OR($C475="",$P475=""),"",MAX(0,ROUND(($P475-$C475)*1440,0)))</f>
        <v/>
      </c>
      <c r="T475" s="34" t="str">
        <f>IF(OR($P475="",$Q475=""),"",MAX(0,ROUND(($Q475-$P475)*1440,0)))</f>
        <v/>
      </c>
      <c r="U475" s="34" t="str">
        <f>IF(OR($Q475="",$R475=""),"",MAX(0,ROUND(($R475-$Q475)*1440,0)))</f>
        <v/>
      </c>
      <c r="V475" s="35" t="str">
        <f>IF($A475="","",IF($O475="No-show","Sim","Não"))</f>
        <v/>
      </c>
      <c r="W475" s="32"/>
    </row>
    <row r="476" spans="1:23" x14ac:dyDescent="0.25">
      <c r="A476" s="24"/>
      <c r="B476" s="25"/>
      <c r="C476" s="26"/>
      <c r="D476" s="24"/>
      <c r="E476" s="24"/>
      <c r="F476" s="24"/>
      <c r="G476" s="24"/>
      <c r="H476" s="24"/>
      <c r="I476" s="24"/>
      <c r="J476" s="27"/>
      <c r="K476" s="24"/>
      <c r="L476" s="24"/>
      <c r="M476" s="24"/>
      <c r="N476" s="24"/>
      <c r="O476" s="24"/>
      <c r="P476" s="26"/>
      <c r="Q476" s="26"/>
      <c r="R476" s="26"/>
      <c r="S476" s="34" t="str">
        <f>IF(OR($C476="",$P476=""),"",MAX(0,ROUND(($P476-$C476)*1440,0)))</f>
        <v/>
      </c>
      <c r="T476" s="34" t="str">
        <f>IF(OR($P476="",$Q476=""),"",MAX(0,ROUND(($Q476-$P476)*1440,0)))</f>
        <v/>
      </c>
      <c r="U476" s="34" t="str">
        <f>IF(OR($Q476="",$R476=""),"",MAX(0,ROUND(($R476-$Q476)*1440,0)))</f>
        <v/>
      </c>
      <c r="V476" s="35" t="str">
        <f>IF($A476="","",IF($O476="No-show","Sim","Não"))</f>
        <v/>
      </c>
      <c r="W476" s="32"/>
    </row>
    <row r="477" spans="1:23" x14ac:dyDescent="0.25">
      <c r="A477" s="24"/>
      <c r="B477" s="25"/>
      <c r="C477" s="26"/>
      <c r="D477" s="24"/>
      <c r="E477" s="24"/>
      <c r="F477" s="24"/>
      <c r="G477" s="24"/>
      <c r="H477" s="24"/>
      <c r="I477" s="24"/>
      <c r="J477" s="27"/>
      <c r="K477" s="24"/>
      <c r="L477" s="24"/>
      <c r="M477" s="24"/>
      <c r="N477" s="24"/>
      <c r="O477" s="24"/>
      <c r="P477" s="26"/>
      <c r="Q477" s="26"/>
      <c r="R477" s="26"/>
      <c r="S477" s="34" t="str">
        <f>IF(OR($C477="",$P477=""),"",MAX(0,ROUND(($P477-$C477)*1440,0)))</f>
        <v/>
      </c>
      <c r="T477" s="34" t="str">
        <f>IF(OR($P477="",$Q477=""),"",MAX(0,ROUND(($Q477-$P477)*1440,0)))</f>
        <v/>
      </c>
      <c r="U477" s="34" t="str">
        <f>IF(OR($Q477="",$R477=""),"",MAX(0,ROUND(($R477-$Q477)*1440,0)))</f>
        <v/>
      </c>
      <c r="V477" s="35" t="str">
        <f>IF($A477="","",IF($O477="No-show","Sim","Não"))</f>
        <v/>
      </c>
      <c r="W477" s="32"/>
    </row>
    <row r="478" spans="1:23" x14ac:dyDescent="0.25">
      <c r="A478" s="24"/>
      <c r="B478" s="25"/>
      <c r="C478" s="26"/>
      <c r="D478" s="24"/>
      <c r="E478" s="24"/>
      <c r="F478" s="24"/>
      <c r="G478" s="24"/>
      <c r="H478" s="24"/>
      <c r="I478" s="24"/>
      <c r="J478" s="27"/>
      <c r="K478" s="24"/>
      <c r="L478" s="24"/>
      <c r="M478" s="24"/>
      <c r="N478" s="24"/>
      <c r="O478" s="24"/>
      <c r="P478" s="26"/>
      <c r="Q478" s="26"/>
      <c r="R478" s="26"/>
      <c r="S478" s="34" t="str">
        <f>IF(OR($C478="",$P478=""),"",MAX(0,ROUND(($P478-$C478)*1440,0)))</f>
        <v/>
      </c>
      <c r="T478" s="34" t="str">
        <f>IF(OR($P478="",$Q478=""),"",MAX(0,ROUND(($Q478-$P478)*1440,0)))</f>
        <v/>
      </c>
      <c r="U478" s="34" t="str">
        <f>IF(OR($Q478="",$R478=""),"",MAX(0,ROUND(($R478-$Q478)*1440,0)))</f>
        <v/>
      </c>
      <c r="V478" s="35" t="str">
        <f>IF($A478="","",IF($O478="No-show","Sim","Não"))</f>
        <v/>
      </c>
      <c r="W478" s="32"/>
    </row>
    <row r="479" spans="1:23" x14ac:dyDescent="0.25">
      <c r="A479" s="24"/>
      <c r="B479" s="25"/>
      <c r="C479" s="26"/>
      <c r="D479" s="24"/>
      <c r="E479" s="24"/>
      <c r="F479" s="24"/>
      <c r="G479" s="24"/>
      <c r="H479" s="24"/>
      <c r="I479" s="24"/>
      <c r="J479" s="27"/>
      <c r="K479" s="24"/>
      <c r="L479" s="24"/>
      <c r="M479" s="24"/>
      <c r="N479" s="24"/>
      <c r="O479" s="24"/>
      <c r="P479" s="26"/>
      <c r="Q479" s="26"/>
      <c r="R479" s="26"/>
      <c r="S479" s="34" t="str">
        <f>IF(OR($C479="",$P479=""),"",MAX(0,ROUND(($P479-$C479)*1440,0)))</f>
        <v/>
      </c>
      <c r="T479" s="34" t="str">
        <f>IF(OR($P479="",$Q479=""),"",MAX(0,ROUND(($Q479-$P479)*1440,0)))</f>
        <v/>
      </c>
      <c r="U479" s="34" t="str">
        <f>IF(OR($Q479="",$R479=""),"",MAX(0,ROUND(($R479-$Q479)*1440,0)))</f>
        <v/>
      </c>
      <c r="V479" s="35" t="str">
        <f>IF($A479="","",IF($O479="No-show","Sim","Não"))</f>
        <v/>
      </c>
      <c r="W479" s="32"/>
    </row>
    <row r="480" spans="1:23" x14ac:dyDescent="0.25">
      <c r="A480" s="24"/>
      <c r="B480" s="25"/>
      <c r="C480" s="26"/>
      <c r="D480" s="24"/>
      <c r="E480" s="24"/>
      <c r="F480" s="24"/>
      <c r="G480" s="24"/>
      <c r="H480" s="24"/>
      <c r="I480" s="24"/>
      <c r="J480" s="27"/>
      <c r="K480" s="24"/>
      <c r="L480" s="24"/>
      <c r="M480" s="24"/>
      <c r="N480" s="24"/>
      <c r="O480" s="24"/>
      <c r="P480" s="26"/>
      <c r="Q480" s="26"/>
      <c r="R480" s="26"/>
      <c r="S480" s="34" t="str">
        <f>IF(OR($C480="",$P480=""),"",MAX(0,ROUND(($P480-$C480)*1440,0)))</f>
        <v/>
      </c>
      <c r="T480" s="34" t="str">
        <f>IF(OR($P480="",$Q480=""),"",MAX(0,ROUND(($Q480-$P480)*1440,0)))</f>
        <v/>
      </c>
      <c r="U480" s="34" t="str">
        <f>IF(OR($Q480="",$R480=""),"",MAX(0,ROUND(($R480-$Q480)*1440,0)))</f>
        <v/>
      </c>
      <c r="V480" s="35" t="str">
        <f>IF($A480="","",IF($O480="No-show","Sim","Não"))</f>
        <v/>
      </c>
      <c r="W480" s="32"/>
    </row>
    <row r="481" spans="1:23" x14ac:dyDescent="0.25">
      <c r="A481" s="24"/>
      <c r="B481" s="25"/>
      <c r="C481" s="26"/>
      <c r="D481" s="24"/>
      <c r="E481" s="24"/>
      <c r="F481" s="24"/>
      <c r="G481" s="24"/>
      <c r="H481" s="24"/>
      <c r="I481" s="24"/>
      <c r="J481" s="27"/>
      <c r="K481" s="24"/>
      <c r="L481" s="24"/>
      <c r="M481" s="24"/>
      <c r="N481" s="24"/>
      <c r="O481" s="24"/>
      <c r="P481" s="26"/>
      <c r="Q481" s="26"/>
      <c r="R481" s="26"/>
      <c r="S481" s="34" t="str">
        <f>IF(OR($C481="",$P481=""),"",MAX(0,ROUND(($P481-$C481)*1440,0)))</f>
        <v/>
      </c>
      <c r="T481" s="34" t="str">
        <f>IF(OR($P481="",$Q481=""),"",MAX(0,ROUND(($Q481-$P481)*1440,0)))</f>
        <v/>
      </c>
      <c r="U481" s="34" t="str">
        <f>IF(OR($Q481="",$R481=""),"",MAX(0,ROUND(($R481-$Q481)*1440,0)))</f>
        <v/>
      </c>
      <c r="V481" s="35" t="str">
        <f>IF($A481="","",IF($O481="No-show","Sim","Não"))</f>
        <v/>
      </c>
      <c r="W481" s="32"/>
    </row>
    <row r="482" spans="1:23" x14ac:dyDescent="0.25">
      <c r="A482" s="24"/>
      <c r="B482" s="25"/>
      <c r="C482" s="26"/>
      <c r="D482" s="24"/>
      <c r="E482" s="24"/>
      <c r="F482" s="24"/>
      <c r="G482" s="24"/>
      <c r="H482" s="24"/>
      <c r="I482" s="24"/>
      <c r="J482" s="27"/>
      <c r="K482" s="24"/>
      <c r="L482" s="24"/>
      <c r="M482" s="24"/>
      <c r="N482" s="24"/>
      <c r="O482" s="24"/>
      <c r="P482" s="26"/>
      <c r="Q482" s="26"/>
      <c r="R482" s="26"/>
      <c r="S482" s="34" t="str">
        <f>IF(OR($C482="",$P482=""),"",MAX(0,ROUND(($P482-$C482)*1440,0)))</f>
        <v/>
      </c>
      <c r="T482" s="34" t="str">
        <f>IF(OR($P482="",$Q482=""),"",MAX(0,ROUND(($Q482-$P482)*1440,0)))</f>
        <v/>
      </c>
      <c r="U482" s="34" t="str">
        <f>IF(OR($Q482="",$R482=""),"",MAX(0,ROUND(($R482-$Q482)*1440,0)))</f>
        <v/>
      </c>
      <c r="V482" s="35" t="str">
        <f>IF($A482="","",IF($O482="No-show","Sim","Não"))</f>
        <v/>
      </c>
      <c r="W482" s="32"/>
    </row>
    <row r="483" spans="1:23" x14ac:dyDescent="0.25">
      <c r="A483" s="24"/>
      <c r="B483" s="25"/>
      <c r="C483" s="26"/>
      <c r="D483" s="24"/>
      <c r="E483" s="24"/>
      <c r="F483" s="24"/>
      <c r="G483" s="24"/>
      <c r="H483" s="24"/>
      <c r="I483" s="24"/>
      <c r="J483" s="27"/>
      <c r="K483" s="24"/>
      <c r="L483" s="24"/>
      <c r="M483" s="24"/>
      <c r="N483" s="24"/>
      <c r="O483" s="24"/>
      <c r="P483" s="26"/>
      <c r="Q483" s="26"/>
      <c r="R483" s="26"/>
      <c r="S483" s="34" t="str">
        <f>IF(OR($C483="",$P483=""),"",MAX(0,ROUND(($P483-$C483)*1440,0)))</f>
        <v/>
      </c>
      <c r="T483" s="34" t="str">
        <f>IF(OR($P483="",$Q483=""),"",MAX(0,ROUND(($Q483-$P483)*1440,0)))</f>
        <v/>
      </c>
      <c r="U483" s="34" t="str">
        <f>IF(OR($Q483="",$R483=""),"",MAX(0,ROUND(($R483-$Q483)*1440,0)))</f>
        <v/>
      </c>
      <c r="V483" s="35" t="str">
        <f>IF($A483="","",IF($O483="No-show","Sim","Não"))</f>
        <v/>
      </c>
      <c r="W483" s="32"/>
    </row>
    <row r="484" spans="1:23" x14ac:dyDescent="0.25">
      <c r="A484" s="24"/>
      <c r="B484" s="25"/>
      <c r="C484" s="26"/>
      <c r="D484" s="24"/>
      <c r="E484" s="24"/>
      <c r="F484" s="24"/>
      <c r="G484" s="24"/>
      <c r="H484" s="24"/>
      <c r="I484" s="24"/>
      <c r="J484" s="27"/>
      <c r="K484" s="24"/>
      <c r="L484" s="24"/>
      <c r="M484" s="24"/>
      <c r="N484" s="24"/>
      <c r="O484" s="24"/>
      <c r="P484" s="26"/>
      <c r="Q484" s="26"/>
      <c r="R484" s="26"/>
      <c r="S484" s="34" t="str">
        <f>IF(OR($C484="",$P484=""),"",MAX(0,ROUND(($P484-$C484)*1440,0)))</f>
        <v/>
      </c>
      <c r="T484" s="34" t="str">
        <f>IF(OR($P484="",$Q484=""),"",MAX(0,ROUND(($Q484-$P484)*1440,0)))</f>
        <v/>
      </c>
      <c r="U484" s="34" t="str">
        <f>IF(OR($Q484="",$R484=""),"",MAX(0,ROUND(($R484-$Q484)*1440,0)))</f>
        <v/>
      </c>
      <c r="V484" s="35" t="str">
        <f>IF($A484="","",IF($O484="No-show","Sim","Não"))</f>
        <v/>
      </c>
      <c r="W484" s="32"/>
    </row>
    <row r="485" spans="1:23" x14ac:dyDescent="0.25">
      <c r="A485" s="24"/>
      <c r="B485" s="25"/>
      <c r="C485" s="26"/>
      <c r="D485" s="24"/>
      <c r="E485" s="24"/>
      <c r="F485" s="24"/>
      <c r="G485" s="24"/>
      <c r="H485" s="24"/>
      <c r="I485" s="24"/>
      <c r="J485" s="27"/>
      <c r="K485" s="24"/>
      <c r="L485" s="24"/>
      <c r="M485" s="24"/>
      <c r="N485" s="24"/>
      <c r="O485" s="24"/>
      <c r="P485" s="26"/>
      <c r="Q485" s="26"/>
      <c r="R485" s="26"/>
      <c r="S485" s="34" t="str">
        <f>IF(OR($C485="",$P485=""),"",MAX(0,ROUND(($P485-$C485)*1440,0)))</f>
        <v/>
      </c>
      <c r="T485" s="34" t="str">
        <f>IF(OR($P485="",$Q485=""),"",MAX(0,ROUND(($Q485-$P485)*1440,0)))</f>
        <v/>
      </c>
      <c r="U485" s="34" t="str">
        <f>IF(OR($Q485="",$R485=""),"",MAX(0,ROUND(($R485-$Q485)*1440,0)))</f>
        <v/>
      </c>
      <c r="V485" s="35" t="str">
        <f>IF($A485="","",IF($O485="No-show","Sim","Não"))</f>
        <v/>
      </c>
      <c r="W485" s="32"/>
    </row>
    <row r="486" spans="1:23" x14ac:dyDescent="0.25">
      <c r="A486" s="24"/>
      <c r="B486" s="25"/>
      <c r="C486" s="26"/>
      <c r="D486" s="24"/>
      <c r="E486" s="24"/>
      <c r="F486" s="24"/>
      <c r="G486" s="24"/>
      <c r="H486" s="24"/>
      <c r="I486" s="24"/>
      <c r="J486" s="27"/>
      <c r="K486" s="24"/>
      <c r="L486" s="24"/>
      <c r="M486" s="24"/>
      <c r="N486" s="24"/>
      <c r="O486" s="24"/>
      <c r="P486" s="26"/>
      <c r="Q486" s="26"/>
      <c r="R486" s="26"/>
      <c r="S486" s="34" t="str">
        <f>IF(OR($C486="",$P486=""),"",MAX(0,ROUND(($P486-$C486)*1440,0)))</f>
        <v/>
      </c>
      <c r="T486" s="34" t="str">
        <f>IF(OR($P486="",$Q486=""),"",MAX(0,ROUND(($Q486-$P486)*1440,0)))</f>
        <v/>
      </c>
      <c r="U486" s="34" t="str">
        <f>IF(OR($Q486="",$R486=""),"",MAX(0,ROUND(($R486-$Q486)*1440,0)))</f>
        <v/>
      </c>
      <c r="V486" s="35" t="str">
        <f>IF($A486="","",IF($O486="No-show","Sim","Não"))</f>
        <v/>
      </c>
      <c r="W486" s="32"/>
    </row>
    <row r="487" spans="1:23" x14ac:dyDescent="0.25">
      <c r="A487" s="24"/>
      <c r="B487" s="25"/>
      <c r="C487" s="26"/>
      <c r="D487" s="24"/>
      <c r="E487" s="24"/>
      <c r="F487" s="24"/>
      <c r="G487" s="24"/>
      <c r="H487" s="24"/>
      <c r="I487" s="24"/>
      <c r="J487" s="27"/>
      <c r="K487" s="24"/>
      <c r="L487" s="24"/>
      <c r="M487" s="24"/>
      <c r="N487" s="24"/>
      <c r="O487" s="24"/>
      <c r="P487" s="26"/>
      <c r="Q487" s="26"/>
      <c r="R487" s="26"/>
      <c r="S487" s="34" t="str">
        <f>IF(OR($C487="",$P487=""),"",MAX(0,ROUND(($P487-$C487)*1440,0)))</f>
        <v/>
      </c>
      <c r="T487" s="34" t="str">
        <f>IF(OR($P487="",$Q487=""),"",MAX(0,ROUND(($Q487-$P487)*1440,0)))</f>
        <v/>
      </c>
      <c r="U487" s="34" t="str">
        <f>IF(OR($Q487="",$R487=""),"",MAX(0,ROUND(($R487-$Q487)*1440,0)))</f>
        <v/>
      </c>
      <c r="V487" s="35" t="str">
        <f>IF($A487="","",IF($O487="No-show","Sim","Não"))</f>
        <v/>
      </c>
      <c r="W487" s="32"/>
    </row>
    <row r="488" spans="1:23" x14ac:dyDescent="0.25">
      <c r="A488" s="24"/>
      <c r="B488" s="25"/>
      <c r="C488" s="26"/>
      <c r="D488" s="24"/>
      <c r="E488" s="24"/>
      <c r="F488" s="24"/>
      <c r="G488" s="24"/>
      <c r="H488" s="24"/>
      <c r="I488" s="24"/>
      <c r="J488" s="27"/>
      <c r="K488" s="24"/>
      <c r="L488" s="24"/>
      <c r="M488" s="24"/>
      <c r="N488" s="24"/>
      <c r="O488" s="24"/>
      <c r="P488" s="26"/>
      <c r="Q488" s="26"/>
      <c r="R488" s="26"/>
      <c r="S488" s="34" t="str">
        <f>IF(OR($C488="",$P488=""),"",MAX(0,ROUND(($P488-$C488)*1440,0)))</f>
        <v/>
      </c>
      <c r="T488" s="34" t="str">
        <f>IF(OR($P488="",$Q488=""),"",MAX(0,ROUND(($Q488-$P488)*1440,0)))</f>
        <v/>
      </c>
      <c r="U488" s="34" t="str">
        <f>IF(OR($Q488="",$R488=""),"",MAX(0,ROUND(($R488-$Q488)*1440,0)))</f>
        <v/>
      </c>
      <c r="V488" s="35" t="str">
        <f>IF($A488="","",IF($O488="No-show","Sim","Não"))</f>
        <v/>
      </c>
      <c r="W488" s="32"/>
    </row>
    <row r="489" spans="1:23" x14ac:dyDescent="0.25">
      <c r="A489" s="24"/>
      <c r="B489" s="25"/>
      <c r="C489" s="26"/>
      <c r="D489" s="24"/>
      <c r="E489" s="24"/>
      <c r="F489" s="24"/>
      <c r="G489" s="24"/>
      <c r="H489" s="24"/>
      <c r="I489" s="24"/>
      <c r="J489" s="27"/>
      <c r="K489" s="24"/>
      <c r="L489" s="24"/>
      <c r="M489" s="24"/>
      <c r="N489" s="24"/>
      <c r="O489" s="24"/>
      <c r="P489" s="26"/>
      <c r="Q489" s="26"/>
      <c r="R489" s="26"/>
      <c r="S489" s="34" t="str">
        <f>IF(OR($C489="",$P489=""),"",MAX(0,ROUND(($P489-$C489)*1440,0)))</f>
        <v/>
      </c>
      <c r="T489" s="34" t="str">
        <f>IF(OR($P489="",$Q489=""),"",MAX(0,ROUND(($Q489-$P489)*1440,0)))</f>
        <v/>
      </c>
      <c r="U489" s="34" t="str">
        <f>IF(OR($Q489="",$R489=""),"",MAX(0,ROUND(($R489-$Q489)*1440,0)))</f>
        <v/>
      </c>
      <c r="V489" s="35" t="str">
        <f>IF($A489="","",IF($O489="No-show","Sim","Não"))</f>
        <v/>
      </c>
      <c r="W489" s="32"/>
    </row>
    <row r="490" spans="1:23" x14ac:dyDescent="0.25">
      <c r="A490" s="24"/>
      <c r="B490" s="25"/>
      <c r="C490" s="26"/>
      <c r="D490" s="24"/>
      <c r="E490" s="24"/>
      <c r="F490" s="24"/>
      <c r="G490" s="24"/>
      <c r="H490" s="24"/>
      <c r="I490" s="24"/>
      <c r="J490" s="27"/>
      <c r="K490" s="24"/>
      <c r="L490" s="24"/>
      <c r="M490" s="24"/>
      <c r="N490" s="24"/>
      <c r="O490" s="24"/>
      <c r="P490" s="26"/>
      <c r="Q490" s="26"/>
      <c r="R490" s="26"/>
      <c r="S490" s="34" t="str">
        <f>IF(OR($C490="",$P490=""),"",MAX(0,ROUND(($P490-$C490)*1440,0)))</f>
        <v/>
      </c>
      <c r="T490" s="34" t="str">
        <f>IF(OR($P490="",$Q490=""),"",MAX(0,ROUND(($Q490-$P490)*1440,0)))</f>
        <v/>
      </c>
      <c r="U490" s="34" t="str">
        <f>IF(OR($Q490="",$R490=""),"",MAX(0,ROUND(($R490-$Q490)*1440,0)))</f>
        <v/>
      </c>
      <c r="V490" s="35" t="str">
        <f>IF($A490="","",IF($O490="No-show","Sim","Não"))</f>
        <v/>
      </c>
      <c r="W490" s="32"/>
    </row>
    <row r="491" spans="1:23" x14ac:dyDescent="0.25">
      <c r="A491" s="24"/>
      <c r="B491" s="25"/>
      <c r="C491" s="26"/>
      <c r="D491" s="24"/>
      <c r="E491" s="24"/>
      <c r="F491" s="24"/>
      <c r="G491" s="24"/>
      <c r="H491" s="24"/>
      <c r="I491" s="24"/>
      <c r="J491" s="27"/>
      <c r="K491" s="24"/>
      <c r="L491" s="24"/>
      <c r="M491" s="24"/>
      <c r="N491" s="24"/>
      <c r="O491" s="24"/>
      <c r="P491" s="26"/>
      <c r="Q491" s="26"/>
      <c r="R491" s="26"/>
      <c r="S491" s="34" t="str">
        <f>IF(OR($C491="",$P491=""),"",MAX(0,ROUND(($P491-$C491)*1440,0)))</f>
        <v/>
      </c>
      <c r="T491" s="34" t="str">
        <f>IF(OR($P491="",$Q491=""),"",MAX(0,ROUND(($Q491-$P491)*1440,0)))</f>
        <v/>
      </c>
      <c r="U491" s="34" t="str">
        <f>IF(OR($Q491="",$R491=""),"",MAX(0,ROUND(($R491-$Q491)*1440,0)))</f>
        <v/>
      </c>
      <c r="V491" s="35" t="str">
        <f>IF($A491="","",IF($O491="No-show","Sim","Não"))</f>
        <v/>
      </c>
      <c r="W491" s="32"/>
    </row>
    <row r="492" spans="1:23" x14ac:dyDescent="0.25">
      <c r="A492" s="24"/>
      <c r="B492" s="25"/>
      <c r="C492" s="26"/>
      <c r="D492" s="24"/>
      <c r="E492" s="24"/>
      <c r="F492" s="24"/>
      <c r="G492" s="24"/>
      <c r="H492" s="24"/>
      <c r="I492" s="24"/>
      <c r="J492" s="27"/>
      <c r="K492" s="24"/>
      <c r="L492" s="24"/>
      <c r="M492" s="24"/>
      <c r="N492" s="24"/>
      <c r="O492" s="24"/>
      <c r="P492" s="26"/>
      <c r="Q492" s="26"/>
      <c r="R492" s="26"/>
      <c r="S492" s="34" t="str">
        <f>IF(OR($C492="",$P492=""),"",MAX(0,ROUND(($P492-$C492)*1440,0)))</f>
        <v/>
      </c>
      <c r="T492" s="34" t="str">
        <f>IF(OR($P492="",$Q492=""),"",MAX(0,ROUND(($Q492-$P492)*1440,0)))</f>
        <v/>
      </c>
      <c r="U492" s="34" t="str">
        <f>IF(OR($Q492="",$R492=""),"",MAX(0,ROUND(($R492-$Q492)*1440,0)))</f>
        <v/>
      </c>
      <c r="V492" s="35" t="str">
        <f>IF($A492="","",IF($O492="No-show","Sim","Não"))</f>
        <v/>
      </c>
      <c r="W492" s="32"/>
    </row>
    <row r="493" spans="1:23" x14ac:dyDescent="0.25">
      <c r="A493" s="24"/>
      <c r="B493" s="25"/>
      <c r="C493" s="26"/>
      <c r="D493" s="24"/>
      <c r="E493" s="24"/>
      <c r="F493" s="24"/>
      <c r="G493" s="24"/>
      <c r="H493" s="24"/>
      <c r="I493" s="24"/>
      <c r="J493" s="27"/>
      <c r="K493" s="24"/>
      <c r="L493" s="24"/>
      <c r="M493" s="24"/>
      <c r="N493" s="24"/>
      <c r="O493" s="24"/>
      <c r="P493" s="26"/>
      <c r="Q493" s="26"/>
      <c r="R493" s="26"/>
      <c r="S493" s="34" t="str">
        <f>IF(OR($C493="",$P493=""),"",MAX(0,ROUND(($P493-$C493)*1440,0)))</f>
        <v/>
      </c>
      <c r="T493" s="34" t="str">
        <f>IF(OR($P493="",$Q493=""),"",MAX(0,ROUND(($Q493-$P493)*1440,0)))</f>
        <v/>
      </c>
      <c r="U493" s="34" t="str">
        <f>IF(OR($Q493="",$R493=""),"",MAX(0,ROUND(($R493-$Q493)*1440,0)))</f>
        <v/>
      </c>
      <c r="V493" s="35" t="str">
        <f>IF($A493="","",IF($O493="No-show","Sim","Não"))</f>
        <v/>
      </c>
      <c r="W493" s="32"/>
    </row>
    <row r="494" spans="1:23" x14ac:dyDescent="0.25">
      <c r="A494" s="24"/>
      <c r="B494" s="25"/>
      <c r="C494" s="26"/>
      <c r="D494" s="24"/>
      <c r="E494" s="24"/>
      <c r="F494" s="24"/>
      <c r="G494" s="24"/>
      <c r="H494" s="24"/>
      <c r="I494" s="24"/>
      <c r="J494" s="27"/>
      <c r="K494" s="24"/>
      <c r="L494" s="24"/>
      <c r="M494" s="24"/>
      <c r="N494" s="24"/>
      <c r="O494" s="24"/>
      <c r="P494" s="26"/>
      <c r="Q494" s="26"/>
      <c r="R494" s="26"/>
      <c r="S494" s="34" t="str">
        <f>IF(OR($C494="",$P494=""),"",MAX(0,ROUND(($P494-$C494)*1440,0)))</f>
        <v/>
      </c>
      <c r="T494" s="34" t="str">
        <f>IF(OR($P494="",$Q494=""),"",MAX(0,ROUND(($Q494-$P494)*1440,0)))</f>
        <v/>
      </c>
      <c r="U494" s="34" t="str">
        <f>IF(OR($Q494="",$R494=""),"",MAX(0,ROUND(($R494-$Q494)*1440,0)))</f>
        <v/>
      </c>
      <c r="V494" s="35" t="str">
        <f>IF($A494="","",IF($O494="No-show","Sim","Não"))</f>
        <v/>
      </c>
      <c r="W494" s="32"/>
    </row>
    <row r="495" spans="1:23" x14ac:dyDescent="0.25">
      <c r="A495" s="24"/>
      <c r="B495" s="25"/>
      <c r="C495" s="26"/>
      <c r="D495" s="24"/>
      <c r="E495" s="24"/>
      <c r="F495" s="24"/>
      <c r="G495" s="24"/>
      <c r="H495" s="24"/>
      <c r="I495" s="24"/>
      <c r="J495" s="27"/>
      <c r="K495" s="24"/>
      <c r="L495" s="24"/>
      <c r="M495" s="24"/>
      <c r="N495" s="24"/>
      <c r="O495" s="24"/>
      <c r="P495" s="26"/>
      <c r="Q495" s="26"/>
      <c r="R495" s="26"/>
      <c r="S495" s="34" t="str">
        <f>IF(OR($C495="",$P495=""),"",MAX(0,ROUND(($P495-$C495)*1440,0)))</f>
        <v/>
      </c>
      <c r="T495" s="34" t="str">
        <f>IF(OR($P495="",$Q495=""),"",MAX(0,ROUND(($Q495-$P495)*1440,0)))</f>
        <v/>
      </c>
      <c r="U495" s="34" t="str">
        <f>IF(OR($Q495="",$R495=""),"",MAX(0,ROUND(($R495-$Q495)*1440,0)))</f>
        <v/>
      </c>
      <c r="V495" s="35" t="str">
        <f>IF($A495="","",IF($O495="No-show","Sim","Não"))</f>
        <v/>
      </c>
      <c r="W495" s="32"/>
    </row>
    <row r="496" spans="1:23" x14ac:dyDescent="0.25">
      <c r="A496" s="24"/>
      <c r="B496" s="25"/>
      <c r="C496" s="26"/>
      <c r="D496" s="24"/>
      <c r="E496" s="24"/>
      <c r="F496" s="24"/>
      <c r="G496" s="24"/>
      <c r="H496" s="24"/>
      <c r="I496" s="24"/>
      <c r="J496" s="27"/>
      <c r="K496" s="24"/>
      <c r="L496" s="24"/>
      <c r="M496" s="24"/>
      <c r="N496" s="24"/>
      <c r="O496" s="24"/>
      <c r="P496" s="26"/>
      <c r="Q496" s="26"/>
      <c r="R496" s="26"/>
      <c r="S496" s="34" t="str">
        <f>IF(OR($C496="",$P496=""),"",MAX(0,ROUND(($P496-$C496)*1440,0)))</f>
        <v/>
      </c>
      <c r="T496" s="34" t="str">
        <f>IF(OR($P496="",$Q496=""),"",MAX(0,ROUND(($Q496-$P496)*1440,0)))</f>
        <v/>
      </c>
      <c r="U496" s="34" t="str">
        <f>IF(OR($Q496="",$R496=""),"",MAX(0,ROUND(($R496-$Q496)*1440,0)))</f>
        <v/>
      </c>
      <c r="V496" s="35" t="str">
        <f>IF($A496="","",IF($O496="No-show","Sim","Não"))</f>
        <v/>
      </c>
      <c r="W496" s="32"/>
    </row>
    <row r="497" spans="1:23" x14ac:dyDescent="0.25">
      <c r="A497" s="24"/>
      <c r="B497" s="25"/>
      <c r="C497" s="26"/>
      <c r="D497" s="24"/>
      <c r="E497" s="24"/>
      <c r="F497" s="24"/>
      <c r="G497" s="24"/>
      <c r="H497" s="24"/>
      <c r="I497" s="24"/>
      <c r="J497" s="27"/>
      <c r="K497" s="24"/>
      <c r="L497" s="24"/>
      <c r="M497" s="24"/>
      <c r="N497" s="24"/>
      <c r="O497" s="24"/>
      <c r="P497" s="26"/>
      <c r="Q497" s="26"/>
      <c r="R497" s="26"/>
      <c r="S497" s="34" t="str">
        <f>IF(OR($C497="",$P497=""),"",MAX(0,ROUND(($P497-$C497)*1440,0)))</f>
        <v/>
      </c>
      <c r="T497" s="34" t="str">
        <f>IF(OR($P497="",$Q497=""),"",MAX(0,ROUND(($Q497-$P497)*1440,0)))</f>
        <v/>
      </c>
      <c r="U497" s="34" t="str">
        <f>IF(OR($Q497="",$R497=""),"",MAX(0,ROUND(($R497-$Q497)*1440,0)))</f>
        <v/>
      </c>
      <c r="V497" s="35" t="str">
        <f>IF($A497="","",IF($O497="No-show","Sim","Não"))</f>
        <v/>
      </c>
      <c r="W497" s="32"/>
    </row>
    <row r="498" spans="1:23" x14ac:dyDescent="0.25">
      <c r="A498" s="24"/>
      <c r="B498" s="25"/>
      <c r="C498" s="26"/>
      <c r="D498" s="24"/>
      <c r="E498" s="24"/>
      <c r="F498" s="24"/>
      <c r="G498" s="24"/>
      <c r="H498" s="24"/>
      <c r="I498" s="24"/>
      <c r="J498" s="27"/>
      <c r="K498" s="24"/>
      <c r="L498" s="24"/>
      <c r="M498" s="24"/>
      <c r="N498" s="24"/>
      <c r="O498" s="24"/>
      <c r="P498" s="26"/>
      <c r="Q498" s="26"/>
      <c r="R498" s="26"/>
      <c r="S498" s="34" t="str">
        <f>IF(OR($C498="",$P498=""),"",MAX(0,ROUND(($P498-$C498)*1440,0)))</f>
        <v/>
      </c>
      <c r="T498" s="34" t="str">
        <f>IF(OR($P498="",$Q498=""),"",MAX(0,ROUND(($Q498-$P498)*1440,0)))</f>
        <v/>
      </c>
      <c r="U498" s="34" t="str">
        <f>IF(OR($Q498="",$R498=""),"",MAX(0,ROUND(($R498-$Q498)*1440,0)))</f>
        <v/>
      </c>
      <c r="V498" s="35" t="str">
        <f>IF($A498="","",IF($O498="No-show","Sim","Não"))</f>
        <v/>
      </c>
      <c r="W498" s="32"/>
    </row>
    <row r="499" spans="1:23" x14ac:dyDescent="0.25">
      <c r="A499" s="24"/>
      <c r="B499" s="25"/>
      <c r="C499" s="26"/>
      <c r="D499" s="24"/>
      <c r="E499" s="24"/>
      <c r="F499" s="24"/>
      <c r="G499" s="24"/>
      <c r="H499" s="24"/>
      <c r="I499" s="24"/>
      <c r="J499" s="27"/>
      <c r="K499" s="24"/>
      <c r="L499" s="24"/>
      <c r="M499" s="24"/>
      <c r="N499" s="24"/>
      <c r="O499" s="24"/>
      <c r="P499" s="26"/>
      <c r="Q499" s="26"/>
      <c r="R499" s="26"/>
      <c r="S499" s="34" t="str">
        <f>IF(OR($C499="",$P499=""),"",MAX(0,ROUND(($P499-$C499)*1440,0)))</f>
        <v/>
      </c>
      <c r="T499" s="34" t="str">
        <f>IF(OR($P499="",$Q499=""),"",MAX(0,ROUND(($Q499-$P499)*1440,0)))</f>
        <v/>
      </c>
      <c r="U499" s="34" t="str">
        <f>IF(OR($Q499="",$R499=""),"",MAX(0,ROUND(($R499-$Q499)*1440,0)))</f>
        <v/>
      </c>
      <c r="V499" s="35" t="str">
        <f>IF($A499="","",IF($O499="No-show","Sim","Não"))</f>
        <v/>
      </c>
      <c r="W499" s="32"/>
    </row>
    <row r="500" spans="1:23" x14ac:dyDescent="0.25">
      <c r="A500" s="24"/>
      <c r="B500" s="25"/>
      <c r="C500" s="26"/>
      <c r="D500" s="24"/>
      <c r="E500" s="24"/>
      <c r="F500" s="24"/>
      <c r="G500" s="24"/>
      <c r="H500" s="24"/>
      <c r="I500" s="24"/>
      <c r="J500" s="27"/>
      <c r="K500" s="24"/>
      <c r="L500" s="24"/>
      <c r="M500" s="24"/>
      <c r="N500" s="24"/>
      <c r="O500" s="24"/>
      <c r="P500" s="26"/>
      <c r="Q500" s="26"/>
      <c r="R500" s="26"/>
      <c r="S500" s="34" t="str">
        <f>IF(OR($C500="",$P500=""),"",MAX(0,ROUND(($P500-$C500)*1440,0)))</f>
        <v/>
      </c>
      <c r="T500" s="34" t="str">
        <f>IF(OR($P500="",$Q500=""),"",MAX(0,ROUND(($Q500-$P500)*1440,0)))</f>
        <v/>
      </c>
      <c r="U500" s="34" t="str">
        <f>IF(OR($Q500="",$R500=""),"",MAX(0,ROUND(($R500-$Q500)*1440,0)))</f>
        <v/>
      </c>
      <c r="V500" s="35" t="str">
        <f>IF($A500="","",IF($O500="No-show","Sim","Não"))</f>
        <v/>
      </c>
      <c r="W500" s="32"/>
    </row>
    <row r="501" spans="1:23" x14ac:dyDescent="0.25">
      <c r="A501" s="28"/>
      <c r="B501" s="29"/>
      <c r="C501" s="30"/>
      <c r="D501" s="28"/>
      <c r="E501" s="28"/>
      <c r="F501" s="28"/>
      <c r="G501" s="28"/>
      <c r="H501" s="28"/>
      <c r="I501" s="28"/>
      <c r="J501" s="31"/>
      <c r="K501" s="28"/>
      <c r="L501" s="28"/>
      <c r="M501" s="28"/>
      <c r="N501" s="28"/>
      <c r="O501" s="28"/>
      <c r="P501" s="30"/>
      <c r="Q501" s="30"/>
      <c r="R501" s="30"/>
      <c r="S501" s="36" t="str">
        <f>IF(OR($C501="",$P501=""),"",MAX(0,ROUND(($P501-$C501)*1440,0)))</f>
        <v/>
      </c>
      <c r="T501" s="36" t="str">
        <f>IF(OR($P501="",$Q501=""),"",MAX(0,ROUND(($Q501-$P501)*1440,0)))</f>
        <v/>
      </c>
      <c r="U501" s="36" t="str">
        <f>IF(OR($Q501="",$R501=""),"",MAX(0,ROUND(($R501-$Q501)*1440,0)))</f>
        <v/>
      </c>
      <c r="V501" s="37" t="str">
        <f>IF($A501="","",IF($O501="No-show","Sim","Não"))</f>
        <v/>
      </c>
      <c r="W501" s="33"/>
    </row>
  </sheetData>
  <sheetProtection sheet="1" objects="1" scenarios="1"/>
  <conditionalFormatting sqref="A2:W501">
    <cfRule type="expression" dxfId="27" priority="1" stopIfTrue="1">
      <formula>$O2="No-show"</formula>
    </cfRule>
    <cfRule type="expression" dxfId="26" priority="2" stopIfTrue="1">
      <formula>$O2="Cancelado"</formula>
    </cfRule>
    <cfRule type="expression" dxfId="25" priority="3" stopIfTrue="1">
      <formula>$O2="Concluído"</formula>
    </cfRule>
    <cfRule type="expression" dxfId="24" priority="4" stopIfTrue="1">
      <formula>$O2="Agendado"</formula>
    </cfRule>
    <cfRule type="expression" dxfId="23" priority="5" stopIfTrue="1">
      <formula>$O2="Confirmado"</formula>
    </cfRule>
  </conditionalFormatting>
  <conditionalFormatting sqref="S2:S501">
    <cfRule type="cellIs" priority="6" stopIfTrue="1" operator="greaterThan">
      <formula>30</formula>
    </cfRule>
  </conditionalFormatting>
  <dataValidations count="6">
    <dataValidation type="list" allowBlank="1" showInputMessage="1" showErrorMessage="1" errorTitle="Valor não cadastrado" error="Escolha um item da lista ou atualize a aba Cadastros." sqref="D2:D501" xr:uid="{99C3AE99-7E91-4DE1-AB18-F5CD533F18B6}">
      <formula1>ListaDocas</formula1>
    </dataValidation>
    <dataValidation type="list" allowBlank="1" showInputMessage="1" showErrorMessage="1" errorTitle="Valor não cadastrado" error="Escolha um item da lista ou atualize a aba Cadastros." sqref="E2:E501" xr:uid="{28DF30EB-8842-4112-8C4B-F9838742541F}">
      <formula1>ListaFornecedores</formula1>
    </dataValidation>
    <dataValidation type="list" allowBlank="1" showInputMessage="1" showErrorMessage="1" errorTitle="Valor não cadastrado" error="Escolha um item da lista ou atualize a aba Cadastros." sqref="F2:F501" xr:uid="{30B13ABE-AAE6-47DE-99BC-52A5DA482C63}">
      <formula1>ListaTransportadoras</formula1>
    </dataValidation>
    <dataValidation type="list" allowBlank="1" showInputMessage="1" showErrorMessage="1" errorTitle="Valor não cadastrado" error="Escolha um item da lista ou atualize a aba Cadastros." sqref="I2:I501" xr:uid="{32DDC071-4C4A-41CA-BA53-7ABC6F149A9F}">
      <formula1>ListaTiposCarga</formula1>
    </dataValidation>
    <dataValidation type="list" allowBlank="1" showInputMessage="1" showErrorMessage="1" errorTitle="Valor não cadastrado" error="Escolha um item da lista ou atualize a aba Cadastros." sqref="K2:K501" xr:uid="{A95B9F88-94CE-42E6-A641-FDF027FC2715}">
      <formula1>ListaUnidades</formula1>
    </dataValidation>
    <dataValidation type="list" allowBlank="1" showInputMessage="1" showErrorMessage="1" errorTitle="Valor não cadastrado" error="Escolha um item da lista ou atualize a aba Cadastros." sqref="O2:O501" xr:uid="{3BD1987A-AE03-45AB-A438-B07FED448D66}">
      <formula1>ListaStatus</formula1>
    </dataValidation>
  </dataValidations>
  <pageMargins left="0.7" right="0.7" top="0.75" bottom="0.75" header="0.3" footer="0.3"/>
  <pageSetup paperSize="9" scale="30" fitToHeight="0" orientation="landscape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11EC-8102-4BBB-BC7F-687DD8A098CA}">
  <dimension ref="A1:N22"/>
  <sheetViews>
    <sheetView showGridLines="0" workbookViewId="0">
      <pane ySplit="5" topLeftCell="A6" activePane="bottomLeft" state="frozenSplit"/>
      <selection pane="bottomLeft" sqref="A1:N2"/>
    </sheetView>
  </sheetViews>
  <sheetFormatPr defaultRowHeight="15" x14ac:dyDescent="0.25"/>
  <cols>
    <col min="1" max="2" width="18.7109375" customWidth="1"/>
    <col min="3" max="3" width="3.7109375" customWidth="1"/>
    <col min="4" max="8" width="18.7109375" customWidth="1"/>
    <col min="9" max="9" width="23.7109375" customWidth="1"/>
    <col min="10" max="10" width="3.7109375" customWidth="1"/>
    <col min="11" max="13" width="19.7109375" customWidth="1"/>
    <col min="14" max="14" width="24.7109375" customWidth="1"/>
  </cols>
  <sheetData>
    <row r="1" spans="1:14" ht="33.950000000000003" customHeight="1" x14ac:dyDescent="0.25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3.950000000000003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4" customHeight="1" x14ac:dyDescent="0.25">
      <c r="A3" s="17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4" customHeight="1" x14ac:dyDescent="0.25">
      <c r="A5" s="18" t="s">
        <v>38</v>
      </c>
      <c r="B5" s="18"/>
      <c r="C5" s="19"/>
      <c r="D5" s="18" t="s">
        <v>42</v>
      </c>
      <c r="E5" s="18"/>
      <c r="F5" s="18"/>
      <c r="G5" s="18"/>
      <c r="H5" s="18"/>
      <c r="I5" s="18"/>
      <c r="J5" s="19"/>
      <c r="K5" s="18" t="s">
        <v>65</v>
      </c>
      <c r="L5" s="18"/>
      <c r="M5" s="18"/>
      <c r="N5" s="18"/>
    </row>
    <row r="6" spans="1:14" x14ac:dyDescent="0.25">
      <c r="A6" s="19" t="s">
        <v>39</v>
      </c>
      <c r="B6" s="19"/>
      <c r="C6" s="19"/>
      <c r="D6" s="22" t="s">
        <v>43</v>
      </c>
      <c r="E6" s="22" t="s">
        <v>44</v>
      </c>
      <c r="F6" s="22" t="s">
        <v>45</v>
      </c>
      <c r="G6" s="22" t="s">
        <v>46</v>
      </c>
      <c r="H6" s="22" t="s">
        <v>47</v>
      </c>
      <c r="I6" s="22" t="s">
        <v>48</v>
      </c>
      <c r="J6" s="19"/>
      <c r="K6" s="22" t="s">
        <v>66</v>
      </c>
      <c r="L6" s="22" t="s">
        <v>45</v>
      </c>
      <c r="M6" s="22" t="s">
        <v>46</v>
      </c>
      <c r="N6" s="22" t="s">
        <v>47</v>
      </c>
    </row>
    <row r="7" spans="1:14" x14ac:dyDescent="0.25">
      <c r="A7" s="19" t="s">
        <v>40</v>
      </c>
      <c r="B7" s="19"/>
      <c r="C7" s="19"/>
      <c r="D7" s="19" t="s">
        <v>49</v>
      </c>
      <c r="E7" s="19" t="s">
        <v>50</v>
      </c>
      <c r="F7" s="19" t="s">
        <v>51</v>
      </c>
      <c r="G7" s="19" t="s">
        <v>52</v>
      </c>
      <c r="H7" s="19" t="s">
        <v>53</v>
      </c>
      <c r="I7" s="19" t="s">
        <v>54</v>
      </c>
      <c r="J7" s="19"/>
      <c r="K7" s="19" t="s">
        <v>67</v>
      </c>
      <c r="L7" s="19" t="s">
        <v>68</v>
      </c>
      <c r="M7" s="19" t="s">
        <v>69</v>
      </c>
      <c r="N7" s="19" t="s">
        <v>70</v>
      </c>
    </row>
    <row r="8" spans="1:14" x14ac:dyDescent="0.25">
      <c r="A8" s="19" t="s">
        <v>41</v>
      </c>
      <c r="B8" s="19"/>
      <c r="C8" s="19"/>
      <c r="D8" s="19" t="s">
        <v>55</v>
      </c>
      <c r="E8" s="19" t="s">
        <v>56</v>
      </c>
      <c r="F8" s="19" t="s">
        <v>57</v>
      </c>
      <c r="G8" s="19" t="s">
        <v>58</v>
      </c>
      <c r="H8" s="19" t="s">
        <v>59</v>
      </c>
      <c r="I8" s="19" t="s">
        <v>54</v>
      </c>
      <c r="J8" s="19"/>
      <c r="K8" s="19" t="s">
        <v>71</v>
      </c>
      <c r="L8" s="19" t="s">
        <v>72</v>
      </c>
      <c r="M8" s="19" t="s">
        <v>73</v>
      </c>
      <c r="N8" s="19" t="s">
        <v>74</v>
      </c>
    </row>
    <row r="9" spans="1:14" x14ac:dyDescent="0.25">
      <c r="A9" s="19"/>
      <c r="B9" s="19"/>
      <c r="C9" s="19"/>
      <c r="D9" s="19" t="s">
        <v>60</v>
      </c>
      <c r="E9" s="19" t="s">
        <v>61</v>
      </c>
      <c r="F9" s="19" t="s">
        <v>62</v>
      </c>
      <c r="G9" s="19" t="s">
        <v>63</v>
      </c>
      <c r="H9" s="19" t="s">
        <v>64</v>
      </c>
      <c r="I9" s="19" t="s">
        <v>54</v>
      </c>
      <c r="J9" s="19"/>
      <c r="K9" s="19" t="s">
        <v>75</v>
      </c>
      <c r="L9" s="19" t="s">
        <v>76</v>
      </c>
      <c r="M9" s="19" t="s">
        <v>77</v>
      </c>
      <c r="N9" s="19" t="s">
        <v>78</v>
      </c>
    </row>
    <row r="10" spans="1:14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ht="24" customHeight="1" x14ac:dyDescent="0.25">
      <c r="A12" s="18" t="s">
        <v>79</v>
      </c>
      <c r="B12" s="18"/>
      <c r="C12" s="19"/>
      <c r="D12" s="21" t="s">
        <v>86</v>
      </c>
      <c r="E12" s="21"/>
      <c r="F12" s="19"/>
      <c r="G12" s="21" t="s">
        <v>93</v>
      </c>
      <c r="H12" s="21"/>
      <c r="I12" s="19"/>
      <c r="J12" s="19"/>
      <c r="K12" s="19"/>
      <c r="L12" s="19"/>
      <c r="M12" s="19"/>
      <c r="N12" s="19"/>
    </row>
    <row r="13" spans="1:14" x14ac:dyDescent="0.25">
      <c r="A13" s="19" t="s">
        <v>80</v>
      </c>
      <c r="B13" s="19"/>
      <c r="C13" s="19"/>
      <c r="D13" s="19" t="s">
        <v>87</v>
      </c>
      <c r="E13" s="19"/>
      <c r="F13" s="19"/>
      <c r="G13" s="19" t="s">
        <v>17</v>
      </c>
      <c r="H13" s="19"/>
      <c r="I13" s="19"/>
      <c r="J13" s="19"/>
      <c r="K13" s="19"/>
      <c r="L13" s="19"/>
      <c r="M13" s="19"/>
      <c r="N13" s="19"/>
    </row>
    <row r="14" spans="1:14" x14ac:dyDescent="0.25">
      <c r="A14" s="19" t="s">
        <v>81</v>
      </c>
      <c r="B14" s="19"/>
      <c r="C14" s="19"/>
      <c r="D14" s="19" t="s">
        <v>88</v>
      </c>
      <c r="E14" s="19"/>
      <c r="F14" s="19"/>
      <c r="G14" s="19" t="s">
        <v>19</v>
      </c>
      <c r="H14" s="19"/>
      <c r="I14" s="19"/>
      <c r="J14" s="19"/>
      <c r="K14" s="19"/>
      <c r="L14" s="19"/>
      <c r="M14" s="19"/>
      <c r="N14" s="19"/>
    </row>
    <row r="15" spans="1:14" x14ac:dyDescent="0.25">
      <c r="A15" s="19" t="s">
        <v>82</v>
      </c>
      <c r="B15" s="19"/>
      <c r="C15" s="19"/>
      <c r="D15" s="19" t="s">
        <v>89</v>
      </c>
      <c r="E15" s="19"/>
      <c r="F15" s="19"/>
      <c r="G15" s="19" t="s">
        <v>21</v>
      </c>
      <c r="H15" s="19"/>
      <c r="I15" s="19"/>
      <c r="J15" s="19"/>
      <c r="K15" s="19"/>
      <c r="L15" s="19"/>
      <c r="M15" s="19"/>
      <c r="N15" s="19"/>
    </row>
    <row r="16" spans="1:14" x14ac:dyDescent="0.25">
      <c r="A16" s="19" t="s">
        <v>83</v>
      </c>
      <c r="B16" s="19"/>
      <c r="C16" s="19"/>
      <c r="D16" s="19" t="s">
        <v>90</v>
      </c>
      <c r="E16" s="19"/>
      <c r="F16" s="19"/>
      <c r="G16" s="19" t="s">
        <v>23</v>
      </c>
      <c r="H16" s="19"/>
      <c r="I16" s="19"/>
      <c r="J16" s="19"/>
      <c r="K16" s="19"/>
      <c r="L16" s="19"/>
      <c r="M16" s="19"/>
      <c r="N16" s="19"/>
    </row>
    <row r="17" spans="1:14" x14ac:dyDescent="0.25">
      <c r="A17" s="19" t="s">
        <v>84</v>
      </c>
      <c r="B17" s="19"/>
      <c r="C17" s="19"/>
      <c r="D17" s="19" t="s">
        <v>91</v>
      </c>
      <c r="E17" s="19"/>
      <c r="F17" s="19"/>
      <c r="G17" s="19" t="s">
        <v>25</v>
      </c>
      <c r="H17" s="19"/>
      <c r="I17" s="19"/>
      <c r="J17" s="19"/>
      <c r="K17" s="19"/>
      <c r="L17" s="19"/>
      <c r="M17" s="19"/>
      <c r="N17" s="19"/>
    </row>
    <row r="18" spans="1:14" x14ac:dyDescent="0.25">
      <c r="A18" s="19" t="s">
        <v>85</v>
      </c>
      <c r="B18" s="19"/>
      <c r="C18" s="19"/>
      <c r="D18" s="19" t="s">
        <v>92</v>
      </c>
      <c r="E18" s="19"/>
      <c r="F18" s="19"/>
      <c r="G18" s="19" t="s">
        <v>27</v>
      </c>
      <c r="H18" s="19"/>
      <c r="I18" s="19"/>
      <c r="J18" s="19"/>
      <c r="K18" s="19"/>
      <c r="L18" s="19"/>
      <c r="M18" s="19"/>
      <c r="N18" s="19"/>
    </row>
    <row r="19" spans="1:14" x14ac:dyDescent="0.25">
      <c r="A19" s="19"/>
      <c r="B19" s="19"/>
      <c r="C19" s="19"/>
      <c r="D19" s="19"/>
      <c r="E19" s="19"/>
      <c r="F19" s="19"/>
      <c r="G19" s="19" t="s">
        <v>29</v>
      </c>
      <c r="H19" s="19"/>
      <c r="I19" s="19"/>
      <c r="J19" s="19"/>
      <c r="K19" s="19"/>
      <c r="L19" s="19"/>
      <c r="M19" s="19"/>
      <c r="N19" s="19"/>
    </row>
    <row r="20" spans="1:14" x14ac:dyDescent="0.25">
      <c r="A20" s="19"/>
      <c r="B20" s="19"/>
      <c r="C20" s="19"/>
      <c r="D20" s="19"/>
      <c r="E20" s="19"/>
      <c r="F20" s="19"/>
      <c r="G20" s="19" t="s">
        <v>31</v>
      </c>
      <c r="H20" s="19"/>
      <c r="I20" s="19"/>
      <c r="J20" s="19"/>
      <c r="K20" s="19"/>
      <c r="L20" s="19"/>
      <c r="M20" s="19"/>
      <c r="N20" s="19"/>
    </row>
    <row r="21" spans="1:14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</sheetData>
  <mergeCells count="6">
    <mergeCell ref="A1:N2"/>
    <mergeCell ref="A3:N3"/>
    <mergeCell ref="A5:B5"/>
    <mergeCell ref="D5:I5"/>
    <mergeCell ref="K5:N5"/>
    <mergeCell ref="A12:B12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9411-B7F4-4E41-B31A-08BCD36CA055}">
  <sheetPr>
    <pageSetUpPr fitToPage="1"/>
  </sheetPr>
  <dimension ref="A1:H32"/>
  <sheetViews>
    <sheetView showGridLines="0" workbookViewId="0">
      <pane ySplit="5" topLeftCell="A6" activePane="bottomLeft" state="frozenSplit"/>
      <selection pane="bottomLeft" sqref="A1:H2"/>
    </sheetView>
  </sheetViews>
  <sheetFormatPr defaultRowHeight="15" x14ac:dyDescent="0.25"/>
  <cols>
    <col min="1" max="1" width="32.7109375" customWidth="1"/>
    <col min="2" max="2" width="18.7109375" customWidth="1"/>
    <col min="3" max="3" width="3.7109375" customWidth="1"/>
    <col min="4" max="4" width="22.7109375" customWidth="1"/>
    <col min="5" max="6" width="16.7109375" customWidth="1"/>
    <col min="7" max="8" width="14.7109375" customWidth="1"/>
  </cols>
  <sheetData>
    <row r="1" spans="1:8" ht="33.950000000000003" customHeight="1" x14ac:dyDescent="0.25">
      <c r="A1" s="1" t="s">
        <v>172</v>
      </c>
      <c r="B1" s="1"/>
      <c r="C1" s="1"/>
      <c r="D1" s="1"/>
      <c r="E1" s="1"/>
      <c r="F1" s="1"/>
      <c r="G1" s="1"/>
      <c r="H1" s="1"/>
    </row>
    <row r="2" spans="1:8" ht="33.950000000000003" customHeight="1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7" t="s">
        <v>173</v>
      </c>
      <c r="B3" s="2"/>
      <c r="C3" s="2"/>
      <c r="D3" s="2"/>
      <c r="E3" s="2"/>
      <c r="F3" s="2"/>
      <c r="G3" s="2"/>
      <c r="H3" s="2"/>
    </row>
    <row r="4" spans="1:8" x14ac:dyDescent="0.25">
      <c r="A4" s="3"/>
      <c r="B4" s="3"/>
      <c r="C4" s="3"/>
      <c r="D4" s="3"/>
      <c r="E4" s="3"/>
      <c r="F4" s="3"/>
      <c r="G4" s="3"/>
      <c r="H4" s="3"/>
    </row>
    <row r="5" spans="1:8" ht="24" customHeight="1" x14ac:dyDescent="0.25">
      <c r="A5" s="18" t="s">
        <v>174</v>
      </c>
      <c r="B5" s="18"/>
      <c r="C5" s="18"/>
      <c r="D5" s="18"/>
      <c r="E5" s="18"/>
      <c r="F5" s="18"/>
      <c r="G5" s="19"/>
      <c r="H5" s="19"/>
    </row>
    <row r="6" spans="1:8" x14ac:dyDescent="0.25">
      <c r="A6" s="38" t="s">
        <v>175</v>
      </c>
      <c r="B6" s="40">
        <f>COUNTIF(Agenda!$A$2:$A$501,"&lt;&gt;")</f>
        <v>8</v>
      </c>
      <c r="C6" s="19"/>
      <c r="D6" s="20" t="s">
        <v>97</v>
      </c>
      <c r="E6" s="20" t="s">
        <v>176</v>
      </c>
      <c r="F6" s="19"/>
      <c r="G6" s="19"/>
      <c r="H6" s="19"/>
    </row>
    <row r="7" spans="1:8" x14ac:dyDescent="0.25">
      <c r="A7" s="39" t="s">
        <v>176</v>
      </c>
      <c r="B7" s="40">
        <f>COUNTIF(Agenda!$O$2:$O$501,"Concluído")</f>
        <v>2</v>
      </c>
      <c r="C7" s="19"/>
      <c r="D7" s="19" t="str">
        <f>Cadastros!A6</f>
        <v>Doca 01</v>
      </c>
      <c r="E7" s="19">
        <f>IF(D7="","",COUNTIFS(Agenda!$D$2:$D$501,D7,Agenda!$O$2:$O$501,"Concluído"))</f>
        <v>1</v>
      </c>
      <c r="F7" s="19"/>
      <c r="G7" s="19"/>
      <c r="H7" s="19"/>
    </row>
    <row r="8" spans="1:8" x14ac:dyDescent="0.25">
      <c r="A8" s="38" t="s">
        <v>177</v>
      </c>
      <c r="B8" s="40">
        <f>COUNTIF(Agenda!$O$2:$O$501,"No-show")</f>
        <v>1</v>
      </c>
      <c r="C8" s="19"/>
      <c r="D8" s="19" t="str">
        <f>Cadastros!A7</f>
        <v>Doca 02</v>
      </c>
      <c r="E8" s="19">
        <f>IF(D8="","",COUNTIFS(Agenda!$D$2:$D$501,D8,Agenda!$O$2:$O$501,"Concluído"))</f>
        <v>1</v>
      </c>
      <c r="F8" s="19"/>
      <c r="G8" s="19"/>
      <c r="H8" s="19"/>
    </row>
    <row r="9" spans="1:8" x14ac:dyDescent="0.25">
      <c r="A9" s="39" t="s">
        <v>178</v>
      </c>
      <c r="B9" s="40">
        <f>COUNTIF(Agenda!$O$2:$O$501,"Cancelado")</f>
        <v>1</v>
      </c>
      <c r="C9" s="19"/>
      <c r="D9" s="19" t="str">
        <f>Cadastros!A8</f>
        <v>Doca 03</v>
      </c>
      <c r="E9" s="19">
        <f>IF(D9="","",COUNTIFS(Agenda!$D$2:$D$501,D9,Agenda!$O$2:$O$501,"Concluído"))</f>
        <v>0</v>
      </c>
      <c r="F9" s="19"/>
      <c r="G9" s="19"/>
      <c r="H9" s="19"/>
    </row>
    <row r="10" spans="1:8" x14ac:dyDescent="0.25">
      <c r="A10" s="38" t="s">
        <v>179</v>
      </c>
      <c r="B10" s="40">
        <f>COUNTIF(Agenda!$O$2:$O$501,"Reagendado")</f>
        <v>1</v>
      </c>
      <c r="C10" s="19"/>
      <c r="D10" s="19">
        <f>Cadastros!A9</f>
        <v>0</v>
      </c>
      <c r="E10" s="19">
        <f>IF(D10="","",COUNTIFS(Agenda!$D$2:$D$501,D10,Agenda!$O$2:$O$501,"Concluído"))</f>
        <v>0</v>
      </c>
      <c r="F10" s="19"/>
      <c r="G10" s="19"/>
      <c r="H10" s="19"/>
    </row>
    <row r="11" spans="1:8" x14ac:dyDescent="0.25">
      <c r="A11" s="39" t="s">
        <v>180</v>
      </c>
      <c r="B11" s="41">
        <f>IFERROR(B8/B6,0)</f>
        <v>0.125</v>
      </c>
      <c r="C11" s="19"/>
      <c r="D11" s="19">
        <f>Cadastros!A10</f>
        <v>0</v>
      </c>
      <c r="E11" s="19">
        <f>IF(D11="","",COUNTIFS(Agenda!$D$2:$D$501,D11,Agenda!$O$2:$O$501,"Concluído"))</f>
        <v>0</v>
      </c>
      <c r="F11" s="19"/>
      <c r="G11" s="19"/>
      <c r="H11" s="19"/>
    </row>
    <row r="12" spans="1:8" x14ac:dyDescent="0.25">
      <c r="A12" s="38" t="s">
        <v>181</v>
      </c>
      <c r="B12" s="42">
        <f>IFERROR(AVERAGEIF(Agenda!$T$2:$T$501,"&gt;=0"),0)</f>
        <v>13</v>
      </c>
      <c r="C12" s="19"/>
      <c r="D12" s="19">
        <f>Cadastros!A11</f>
        <v>0</v>
      </c>
      <c r="E12" s="19">
        <f>IF(D12="","",COUNTIFS(Agenda!$D$2:$D$501,D12,Agenda!$O$2:$O$501,"Concluído"))</f>
        <v>0</v>
      </c>
      <c r="F12" s="19"/>
      <c r="G12" s="19"/>
      <c r="H12" s="19"/>
    </row>
    <row r="13" spans="1:8" x14ac:dyDescent="0.25">
      <c r="A13" s="39" t="s">
        <v>182</v>
      </c>
      <c r="B13" s="42">
        <f>IFERROR(AVERAGEIF(Agenda!$U$2:$U$501,"&gt;=0"),0)</f>
        <v>65.5</v>
      </c>
      <c r="C13" s="19"/>
      <c r="D13" s="19" t="str">
        <f>Cadastros!A12</f>
        <v>TIPOS DE CARGA</v>
      </c>
      <c r="E13" s="19">
        <f>IF(D13="","",COUNTIFS(Agenda!$D$2:$D$501,D13,Agenda!$O$2:$O$501,"Concluído"))</f>
        <v>0</v>
      </c>
      <c r="F13" s="19"/>
      <c r="G13" s="19"/>
      <c r="H13" s="19"/>
    </row>
    <row r="14" spans="1:8" x14ac:dyDescent="0.25">
      <c r="A14" s="38" t="s">
        <v>183</v>
      </c>
      <c r="B14" s="42">
        <f>IFERROR(AVERAGEIF(Agenda!$S$2:$S$501,"&gt;=0"),0)</f>
        <v>15</v>
      </c>
      <c r="C14" s="19"/>
      <c r="D14" s="19" t="str">
        <f>Cadastros!A13</f>
        <v>Paletizada</v>
      </c>
      <c r="E14" s="19">
        <f>IF(D14="","",COUNTIFS(Agenda!$D$2:$D$501,D14,Agenda!$O$2:$O$501,"Concluído"))</f>
        <v>0</v>
      </c>
      <c r="F14" s="19"/>
      <c r="G14" s="19"/>
      <c r="H14" s="19"/>
    </row>
    <row r="15" spans="1:8" x14ac:dyDescent="0.25">
      <c r="A15" s="39" t="s">
        <v>184</v>
      </c>
      <c r="B15" s="43">
        <f>IFERROR(B6/SUMPRODUCT((Agenda!$B$2:$B$501&lt;&gt;"")/COUNTIF(Agenda!$B$2:$B$501,Agenda!$B$2:$B$501&amp;"")),0)</f>
        <v>2.6666666666666665</v>
      </c>
      <c r="C15" s="19"/>
      <c r="D15" s="19" t="str">
        <f>Cadastros!A14</f>
        <v>Batida</v>
      </c>
      <c r="E15" s="19">
        <f>IF(D15="","",COUNTIFS(Agenda!$D$2:$D$501,D15,Agenda!$O$2:$O$501,"Concluído"))</f>
        <v>0</v>
      </c>
      <c r="F15" s="19"/>
      <c r="G15" s="19"/>
      <c r="H15" s="19"/>
    </row>
    <row r="16" spans="1:8" x14ac:dyDescent="0.25">
      <c r="A16" s="19"/>
      <c r="B16" s="19"/>
      <c r="C16" s="19"/>
      <c r="D16" s="19" t="str">
        <f>Cadastros!A15</f>
        <v>Granel</v>
      </c>
      <c r="E16" s="19">
        <f>IF(D16="","",COUNTIFS(Agenda!$D$2:$D$501,D16,Agenda!$O$2:$O$501,"Concluído"))</f>
        <v>0</v>
      </c>
      <c r="F16" s="19"/>
      <c r="G16" s="19"/>
      <c r="H16" s="19"/>
    </row>
    <row r="17" spans="1:8" x14ac:dyDescent="0.25">
      <c r="A17" s="19"/>
      <c r="B17" s="19"/>
      <c r="C17" s="19"/>
      <c r="D17" s="19"/>
      <c r="E17" s="19"/>
      <c r="F17" s="19"/>
      <c r="G17" s="19"/>
      <c r="H17" s="19"/>
    </row>
    <row r="18" spans="1:8" ht="24" customHeight="1" x14ac:dyDescent="0.25">
      <c r="A18" s="18" t="s">
        <v>185</v>
      </c>
      <c r="B18" s="18"/>
      <c r="C18" s="18"/>
      <c r="D18" s="18"/>
      <c r="E18" s="18"/>
      <c r="F18" s="18"/>
      <c r="G18" s="18"/>
      <c r="H18" s="18"/>
    </row>
    <row r="19" spans="1:8" x14ac:dyDescent="0.25">
      <c r="A19" s="20" t="s">
        <v>43</v>
      </c>
      <c r="B19" s="20" t="s">
        <v>176</v>
      </c>
      <c r="C19" s="19"/>
      <c r="D19" s="19"/>
      <c r="E19" s="19"/>
      <c r="F19" s="19"/>
      <c r="G19" s="19"/>
      <c r="H19" s="19"/>
    </row>
    <row r="20" spans="1:8" x14ac:dyDescent="0.25">
      <c r="A20" s="19" t="str">
        <f>Cadastros!D7</f>
        <v>Fornecedor Alfa</v>
      </c>
      <c r="B20" s="19">
        <f>IF(A20="","",COUNTIFS(Agenda!$E$2:$E$501,A20,Agenda!$O$2:$O$501,"Concluído"))</f>
        <v>1</v>
      </c>
      <c r="C20" s="19"/>
      <c r="D20" s="44" t="s">
        <v>186</v>
      </c>
      <c r="E20" s="45"/>
      <c r="F20" s="45"/>
      <c r="G20" s="45"/>
      <c r="H20" s="45"/>
    </row>
    <row r="21" spans="1:8" x14ac:dyDescent="0.25">
      <c r="A21" s="19" t="str">
        <f>Cadastros!D8</f>
        <v>Fornecedor Beta</v>
      </c>
      <c r="B21" s="19">
        <f>IF(A21="","",COUNTIFS(Agenda!$E$2:$E$501,A21,Agenda!$O$2:$O$501,"Concluído"))</f>
        <v>1</v>
      </c>
      <c r="C21" s="19"/>
      <c r="D21" s="45"/>
      <c r="E21" s="45"/>
      <c r="F21" s="45"/>
      <c r="G21" s="45"/>
      <c r="H21" s="45"/>
    </row>
    <row r="22" spans="1:8" x14ac:dyDescent="0.25">
      <c r="A22" s="19" t="str">
        <f>Cadastros!D9</f>
        <v>Fornecedor Gama</v>
      </c>
      <c r="B22" s="19">
        <f>IF(A22="","",COUNTIFS(Agenda!$E$2:$E$501,A22,Agenda!$O$2:$O$501,"Concluído"))</f>
        <v>0</v>
      </c>
      <c r="C22" s="19"/>
      <c r="D22" s="45"/>
      <c r="E22" s="45"/>
      <c r="F22" s="45"/>
      <c r="G22" s="45"/>
      <c r="H22" s="45"/>
    </row>
    <row r="23" spans="1:8" x14ac:dyDescent="0.25">
      <c r="A23" s="19">
        <f>Cadastros!D10</f>
        <v>0</v>
      </c>
      <c r="B23" s="19">
        <f>IF(A23="","",COUNTIFS(Agenda!$E$2:$E$501,A23,Agenda!$O$2:$O$501,"Concluído"))</f>
        <v>0</v>
      </c>
      <c r="C23" s="19"/>
      <c r="D23" s="45"/>
      <c r="E23" s="45"/>
      <c r="F23" s="45"/>
      <c r="G23" s="45"/>
      <c r="H23" s="45"/>
    </row>
    <row r="24" spans="1:8" x14ac:dyDescent="0.25">
      <c r="A24" s="19">
        <f>Cadastros!D11</f>
        <v>0</v>
      </c>
      <c r="B24" s="19">
        <f>IF(A24="","",COUNTIFS(Agenda!$E$2:$E$501,A24,Agenda!$O$2:$O$501,"Concluído"))</f>
        <v>0</v>
      </c>
      <c r="C24" s="19"/>
      <c r="D24" s="45"/>
      <c r="E24" s="45"/>
      <c r="F24" s="45"/>
      <c r="G24" s="45"/>
      <c r="H24" s="45"/>
    </row>
    <row r="25" spans="1:8" x14ac:dyDescent="0.25">
      <c r="A25" s="19" t="str">
        <f>Cadastros!D12</f>
        <v>UNIDADES</v>
      </c>
      <c r="B25" s="19">
        <f>IF(A25="","",COUNTIFS(Agenda!$E$2:$E$501,A25,Agenda!$O$2:$O$501,"Concluído"))</f>
        <v>0</v>
      </c>
      <c r="C25" s="19"/>
      <c r="D25" s="45"/>
      <c r="E25" s="45"/>
      <c r="F25" s="45"/>
      <c r="G25" s="45"/>
      <c r="H25" s="45"/>
    </row>
    <row r="26" spans="1:8" x14ac:dyDescent="0.25">
      <c r="A26" s="19" t="str">
        <f>Cadastros!D13</f>
        <v>Paletes</v>
      </c>
      <c r="B26" s="19">
        <f>IF(A26="","",COUNTIFS(Agenda!$E$2:$E$501,A26,Agenda!$O$2:$O$501,"Concluído"))</f>
        <v>0</v>
      </c>
      <c r="C26" s="19"/>
      <c r="D26" s="45"/>
      <c r="E26" s="45"/>
      <c r="F26" s="45"/>
      <c r="G26" s="45"/>
      <c r="H26" s="45"/>
    </row>
    <row r="27" spans="1:8" x14ac:dyDescent="0.25">
      <c r="A27" s="19" t="str">
        <f>Cadastros!D14</f>
        <v>Caixas</v>
      </c>
      <c r="B27" s="19">
        <f>IF(A27="","",COUNTIFS(Agenda!$E$2:$E$501,A27,Agenda!$O$2:$O$501,"Concluído"))</f>
        <v>0</v>
      </c>
      <c r="C27" s="19"/>
      <c r="D27" s="19"/>
      <c r="E27" s="19"/>
      <c r="F27" s="19"/>
      <c r="G27" s="19"/>
      <c r="H27" s="19"/>
    </row>
    <row r="28" spans="1:8" x14ac:dyDescent="0.25">
      <c r="A28" s="19" t="str">
        <f>Cadastros!D15</f>
        <v>Unidades</v>
      </c>
      <c r="B28" s="19">
        <f>IF(A28="","",COUNTIFS(Agenda!$E$2:$E$501,A28,Agenda!$O$2:$O$501,"Concluído"))</f>
        <v>0</v>
      </c>
      <c r="C28" s="19"/>
      <c r="D28" s="19"/>
      <c r="E28" s="19"/>
      <c r="F28" s="19"/>
      <c r="G28" s="19"/>
      <c r="H28" s="19"/>
    </row>
    <row r="29" spans="1:8" x14ac:dyDescent="0.25">
      <c r="A29" s="19" t="str">
        <f>Cadastros!D16</f>
        <v>Quilos</v>
      </c>
      <c r="B29" s="19">
        <f>IF(A29="","",COUNTIFS(Agenda!$E$2:$E$501,A29,Agenda!$O$2:$O$501,"Concluído"))</f>
        <v>0</v>
      </c>
      <c r="C29" s="19"/>
      <c r="D29" s="19"/>
      <c r="E29" s="19"/>
      <c r="F29" s="19"/>
      <c r="G29" s="19"/>
      <c r="H29" s="19"/>
    </row>
    <row r="30" spans="1:8" x14ac:dyDescent="0.25">
      <c r="A30" s="19" t="str">
        <f>Cadastros!D17</f>
        <v>Toneladas</v>
      </c>
      <c r="B30" s="19">
        <f>IF(A30="","",COUNTIFS(Agenda!$E$2:$E$501,A30,Agenda!$O$2:$O$501,"Concluído"))</f>
        <v>0</v>
      </c>
      <c r="C30" s="19"/>
      <c r="D30" s="19"/>
      <c r="E30" s="19"/>
      <c r="F30" s="19"/>
      <c r="G30" s="19"/>
      <c r="H30" s="19"/>
    </row>
    <row r="31" spans="1:8" x14ac:dyDescent="0.25">
      <c r="A31" s="19" t="str">
        <f>Cadastros!D18</f>
        <v>Litros</v>
      </c>
      <c r="B31" s="19">
        <f>IF(A31="","",COUNTIFS(Agenda!$E$2:$E$501,A31,Agenda!$O$2:$O$501,"Concluído"))</f>
        <v>0</v>
      </c>
      <c r="C31" s="19"/>
      <c r="D31" s="19"/>
      <c r="E31" s="19"/>
      <c r="F31" s="19"/>
      <c r="G31" s="19"/>
      <c r="H31" s="19"/>
    </row>
    <row r="32" spans="1:8" x14ac:dyDescent="0.25">
      <c r="A32" s="19"/>
      <c r="B32" s="19"/>
      <c r="C32" s="19"/>
      <c r="D32" s="19"/>
      <c r="E32" s="19"/>
      <c r="F32" s="19"/>
      <c r="G32" s="19"/>
      <c r="H32" s="19"/>
    </row>
  </sheetData>
  <mergeCells count="5">
    <mergeCell ref="D20:H26"/>
    <mergeCell ref="A1:H2"/>
    <mergeCell ref="A3:H3"/>
    <mergeCell ref="A5:F5"/>
    <mergeCell ref="A18:H18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1C65-1E07-4C27-9350-B85325BD2A5B}">
  <sheetPr>
    <pageSetUpPr fitToPage="1"/>
  </sheetPr>
  <dimension ref="A1:W33"/>
  <sheetViews>
    <sheetView showGridLines="0" workbookViewId="0">
      <selection sqref="A1:N2"/>
    </sheetView>
  </sheetViews>
  <sheetFormatPr defaultRowHeight="15" x14ac:dyDescent="0.25"/>
  <cols>
    <col min="1" max="3" width="11.7109375" customWidth="1"/>
    <col min="4" max="4" width="3.7109375" customWidth="1"/>
    <col min="5" max="7" width="11.7109375" customWidth="1"/>
    <col min="8" max="8" width="3.7109375" customWidth="1"/>
    <col min="9" max="11" width="11.7109375" customWidth="1"/>
    <col min="12" max="12" width="3.7109375" customWidth="1"/>
    <col min="13" max="14" width="11.7109375" customWidth="1"/>
    <col min="16" max="23" width="0" hidden="1" customWidth="1"/>
  </cols>
  <sheetData>
    <row r="1" spans="1:23" ht="33.950000000000003" customHeight="1" x14ac:dyDescent="0.25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3" ht="33.950000000000003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 t="s">
        <v>105</v>
      </c>
      <c r="Q2" t="s">
        <v>101</v>
      </c>
      <c r="S2" t="s">
        <v>97</v>
      </c>
      <c r="T2" t="s">
        <v>189</v>
      </c>
      <c r="V2" t="s">
        <v>95</v>
      </c>
      <c r="W2" t="s">
        <v>189</v>
      </c>
    </row>
    <row r="3" spans="1:23" x14ac:dyDescent="0.25">
      <c r="A3" s="17" t="s">
        <v>188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P3" t="s">
        <v>17</v>
      </c>
      <c r="Q3">
        <f>COUNTIF(Agenda!$O$2:$O$501,P3)</f>
        <v>1</v>
      </c>
      <c r="S3" t="s">
        <v>39</v>
      </c>
      <c r="T3">
        <f>COUNTIF(Agenda!$D$2:$D$501,S3)</f>
        <v>3</v>
      </c>
      <c r="V3" s="46" t="s">
        <v>114</v>
      </c>
      <c r="W3">
        <f>COUNTIF(Agenda!$B$2:$B$501,V3)</f>
        <v>3</v>
      </c>
    </row>
    <row r="4" spans="1:2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P4" t="s">
        <v>19</v>
      </c>
      <c r="Q4">
        <f>COUNTIF(Agenda!$O$2:$O$501,P4)</f>
        <v>1</v>
      </c>
      <c r="S4" t="s">
        <v>40</v>
      </c>
      <c r="T4">
        <f>COUNTIF(Agenda!$D$2:$D$501,S4)</f>
        <v>3</v>
      </c>
      <c r="V4" s="46" t="s">
        <v>136</v>
      </c>
      <c r="W4">
        <f>COUNTIF(Agenda!$B$2:$B$501,V4)</f>
        <v>3</v>
      </c>
    </row>
    <row r="5" spans="1:23" x14ac:dyDescent="0.25">
      <c r="A5" s="47" t="s">
        <v>189</v>
      </c>
      <c r="B5" s="47"/>
      <c r="C5" s="47"/>
      <c r="D5" s="3"/>
      <c r="E5" s="47" t="s">
        <v>176</v>
      </c>
      <c r="F5" s="47"/>
      <c r="G5" s="47"/>
      <c r="H5" s="3"/>
      <c r="I5" s="47" t="s">
        <v>31</v>
      </c>
      <c r="J5" s="47"/>
      <c r="K5" s="47"/>
      <c r="L5" s="3"/>
      <c r="M5" s="47" t="s">
        <v>190</v>
      </c>
      <c r="N5" s="47"/>
      <c r="P5" t="s">
        <v>21</v>
      </c>
      <c r="Q5">
        <f>COUNTIF(Agenda!$O$2:$O$501,P5)</f>
        <v>0</v>
      </c>
      <c r="S5" t="s">
        <v>41</v>
      </c>
      <c r="T5">
        <f>COUNTIF(Agenda!$D$2:$D$501,S5)</f>
        <v>2</v>
      </c>
      <c r="V5" s="46" t="s">
        <v>158</v>
      </c>
      <c r="W5">
        <f>COUNTIF(Agenda!$B$2:$B$501,V5)</f>
        <v>2</v>
      </c>
    </row>
    <row r="6" spans="1:23" x14ac:dyDescent="0.25">
      <c r="A6" s="48">
        <f>Indicadores!B6</f>
        <v>8</v>
      </c>
      <c r="B6" s="49"/>
      <c r="C6" s="49"/>
      <c r="D6" s="3"/>
      <c r="E6" s="48">
        <f>Indicadores!B7</f>
        <v>2</v>
      </c>
      <c r="F6" s="49"/>
      <c r="G6" s="49"/>
      <c r="H6" s="3"/>
      <c r="I6" s="48">
        <f>Indicadores!B8</f>
        <v>1</v>
      </c>
      <c r="J6" s="49"/>
      <c r="K6" s="49"/>
      <c r="L6" s="3"/>
      <c r="M6" s="50">
        <f>Indicadores!B14</f>
        <v>15</v>
      </c>
      <c r="N6" s="49"/>
      <c r="P6" t="s">
        <v>23</v>
      </c>
      <c r="Q6">
        <f>COUNTIF(Agenda!$O$2:$O$501,P6)</f>
        <v>1</v>
      </c>
      <c r="V6" s="46" t="s">
        <v>193</v>
      </c>
      <c r="W6">
        <f>COUNTIF(Agenda!$B$2:$B$501,V6)</f>
        <v>0</v>
      </c>
    </row>
    <row r="7" spans="1:23" x14ac:dyDescent="0.25">
      <c r="A7" s="49"/>
      <c r="B7" s="49"/>
      <c r="C7" s="49"/>
      <c r="D7" s="3"/>
      <c r="E7" s="49"/>
      <c r="F7" s="49"/>
      <c r="G7" s="49"/>
      <c r="H7" s="3"/>
      <c r="I7" s="49"/>
      <c r="J7" s="49"/>
      <c r="K7" s="49"/>
      <c r="L7" s="3"/>
      <c r="M7" s="49"/>
      <c r="N7" s="49"/>
      <c r="P7" t="s">
        <v>25</v>
      </c>
      <c r="Q7">
        <f>COUNTIF(Agenda!$O$2:$O$501,P7)</f>
        <v>2</v>
      </c>
      <c r="V7" s="46" t="s">
        <v>194</v>
      </c>
      <c r="W7">
        <f>COUNTIF(Agenda!$B$2:$B$501,V7)</f>
        <v>0</v>
      </c>
    </row>
    <row r="8" spans="1:23" x14ac:dyDescent="0.25">
      <c r="A8" s="49"/>
      <c r="B8" s="49"/>
      <c r="C8" s="49"/>
      <c r="D8" s="3"/>
      <c r="E8" s="49"/>
      <c r="F8" s="49"/>
      <c r="G8" s="49"/>
      <c r="H8" s="3"/>
      <c r="I8" s="49"/>
      <c r="J8" s="49"/>
      <c r="K8" s="49"/>
      <c r="L8" s="3"/>
      <c r="M8" s="49"/>
      <c r="N8" s="49"/>
      <c r="P8" t="s">
        <v>27</v>
      </c>
      <c r="Q8">
        <f>COUNTIF(Agenda!$O$2:$O$501,P8)</f>
        <v>1</v>
      </c>
      <c r="V8" s="46" t="s">
        <v>195</v>
      </c>
      <c r="W8">
        <f>COUNTIF(Agenda!$B$2:$B$501,V8)</f>
        <v>0</v>
      </c>
    </row>
    <row r="9" spans="1:2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P9" t="s">
        <v>29</v>
      </c>
      <c r="Q9">
        <f>COUNTIF(Agenda!$O$2:$O$501,P9)</f>
        <v>1</v>
      </c>
      <c r="V9" s="46" t="s">
        <v>196</v>
      </c>
      <c r="W9">
        <f>COUNTIF(Agenda!$B$2:$B$501,V9)</f>
        <v>0</v>
      </c>
    </row>
    <row r="10" spans="1:23" x14ac:dyDescent="0.25">
      <c r="A10" s="47" t="s">
        <v>191</v>
      </c>
      <c r="B10" s="47"/>
      <c r="C10" s="47"/>
      <c r="D10" s="3"/>
      <c r="E10" s="47" t="s">
        <v>192</v>
      </c>
      <c r="F10" s="47"/>
      <c r="G10" s="47"/>
      <c r="H10" s="3"/>
      <c r="I10" s="3"/>
      <c r="J10" s="3"/>
      <c r="K10" s="3"/>
      <c r="L10" s="3"/>
      <c r="M10" s="3"/>
      <c r="N10" s="3"/>
      <c r="P10" t="s">
        <v>31</v>
      </c>
      <c r="Q10">
        <f>COUNTIF(Agenda!$O$2:$O$501,P10)</f>
        <v>1</v>
      </c>
    </row>
    <row r="11" spans="1:23" x14ac:dyDescent="0.25">
      <c r="A11" s="50">
        <f>Indicadores!B12</f>
        <v>13</v>
      </c>
      <c r="B11" s="49"/>
      <c r="C11" s="49"/>
      <c r="D11" s="3"/>
      <c r="E11" s="50">
        <f>Indicadores!B13</f>
        <v>65.5</v>
      </c>
      <c r="F11" s="49"/>
      <c r="G11" s="49"/>
      <c r="H11" s="3"/>
      <c r="I11" s="3"/>
      <c r="J11" s="3"/>
      <c r="K11" s="3"/>
      <c r="L11" s="3"/>
      <c r="M11" s="3"/>
      <c r="N11" s="3"/>
    </row>
    <row r="12" spans="1:23" x14ac:dyDescent="0.25">
      <c r="A12" s="49"/>
      <c r="B12" s="49"/>
      <c r="C12" s="49"/>
      <c r="D12" s="3"/>
      <c r="E12" s="49"/>
      <c r="F12" s="49"/>
      <c r="G12" s="49"/>
      <c r="H12" s="3"/>
      <c r="I12" s="3"/>
      <c r="J12" s="3"/>
      <c r="K12" s="3"/>
      <c r="L12" s="3"/>
      <c r="M12" s="3"/>
      <c r="N12" s="3"/>
    </row>
    <row r="13" spans="1:23" x14ac:dyDescent="0.25">
      <c r="A13" s="49"/>
      <c r="B13" s="49"/>
      <c r="C13" s="49"/>
      <c r="D13" s="3"/>
      <c r="E13" s="49"/>
      <c r="F13" s="49"/>
      <c r="G13" s="49"/>
      <c r="H13" s="3"/>
      <c r="I13" s="3"/>
      <c r="J13" s="3"/>
      <c r="K13" s="3"/>
      <c r="L13" s="3"/>
      <c r="M13" s="3"/>
      <c r="N13" s="3"/>
    </row>
    <row r="14" spans="1:2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5">
      <c r="A31" s="51" t="s">
        <v>197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</row>
    <row r="32" spans="1:14" x14ac:dyDescent="0.2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</row>
    <row r="33" spans="1:14" x14ac:dyDescent="0.2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</row>
  </sheetData>
  <mergeCells count="15">
    <mergeCell ref="A10:C10"/>
    <mergeCell ref="A11:C13"/>
    <mergeCell ref="E10:G10"/>
    <mergeCell ref="E11:G13"/>
    <mergeCell ref="A31:N33"/>
    <mergeCell ref="A1:N2"/>
    <mergeCell ref="A3:N3"/>
    <mergeCell ref="A5:C5"/>
    <mergeCell ref="A6:C8"/>
    <mergeCell ref="E5:G5"/>
    <mergeCell ref="E6:G8"/>
    <mergeCell ref="I5:K5"/>
    <mergeCell ref="I6:K8"/>
    <mergeCell ref="M5:N5"/>
    <mergeCell ref="M6:N8"/>
  </mergeCells>
  <hyperlinks>
    <hyperlink ref="A31" r:id="rId1" tooltip="Conheça o Doca Certa" xr:uid="{A7BC4085-8683-45FE-87A1-E0FC1408EA9C}"/>
  </hyperlinks>
  <pageMargins left="0.7" right="0.7" top="0.75" bottom="0.75" header="0.3" footer="0.3"/>
  <pageSetup paperSize="9" orientation="landscape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Instruções</vt:lpstr>
      <vt:lpstr>Agenda</vt:lpstr>
      <vt:lpstr>Cadastros</vt:lpstr>
      <vt:lpstr>Indicadores</vt:lpstr>
      <vt:lpstr>Dashboard</vt:lpstr>
      <vt:lpstr>ListaDocas</vt:lpstr>
      <vt:lpstr>ListaFornecedores</vt:lpstr>
      <vt:lpstr>ListaStatus</vt:lpstr>
      <vt:lpstr>ListaTiposCarga</vt:lpstr>
      <vt:lpstr>ListaTransportadoras</vt:lpstr>
      <vt:lpstr>ListaUnidades</vt:lpstr>
      <vt:lpstr>Dashboard!Print_Area</vt:lpstr>
      <vt:lpstr>Indicadores!Print_Area</vt:lpstr>
      <vt:lpstr>Instruções!Print_Area</vt:lpstr>
      <vt:lpstr>Agenda!Print_Titles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Muniz</dc:creator>
  <cp:lastModifiedBy>Bruno Muniz</cp:lastModifiedBy>
  <dcterms:created xsi:type="dcterms:W3CDTF">2026-08-25T22:22:09Z</dcterms:created>
  <dcterms:modified xsi:type="dcterms:W3CDTF">2026-08-25T22:22:15Z</dcterms:modified>
</cp:coreProperties>
</file>